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Lenovo\Documents\"/>
    </mc:Choice>
  </mc:AlternateContent>
  <xr:revisionPtr revIDLastSave="0" documentId="13_ncr:1_{1E1FB52D-3C68-4F02-BD7F-1462871C8486}" xr6:coauthVersionLast="47" xr6:coauthVersionMax="47" xr10:uidLastSave="{00000000-0000-0000-0000-000000000000}"/>
  <bookViews>
    <workbookView xWindow="-108" yWindow="-108" windowWidth="23256" windowHeight="12456" activeTab="1" xr2:uid="{C7736009-F102-46DC-BA37-F0AAC2E83C59}"/>
  </bookViews>
  <sheets>
    <sheet name="Data_Set" sheetId="1" r:id="rId1"/>
    <sheet name="Dashboard" sheetId="2" r:id="rId2"/>
  </sheets>
  <externalReferences>
    <externalReference r:id="rId3"/>
  </externalReferences>
  <definedNames>
    <definedName name="_xlchart.v1.0" hidden="1">'[1]Task-1'!$B$48:$B$51</definedName>
    <definedName name="_xlchart.v1.1" hidden="1">'[1]Task-1'!$C$47</definedName>
    <definedName name="_xlchart.v1.2" hidden="1">'[1]Task-1'!$C$48:$C$51</definedName>
    <definedName name="Slicer_Gender1">#N/A</definedName>
    <definedName name="Slicer_Investment_Avenues">#N/A</definedName>
  </definedNames>
  <calcPr calcId="191029"/>
  <extLst>
    <ext xmlns:x14="http://schemas.microsoft.com/office/spreadsheetml/2009/9/main" uri="{876F7934-8845-4945-9796-88D515C7AA90}">
      <x14:pivotCaches>
        <pivotCache cacheId="12" r:id="rId4"/>
      </x14:pivotCaches>
    </ex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1" i="1" l="1"/>
  <c r="P41" i="1"/>
  <c r="S40" i="1"/>
  <c r="P40" i="1"/>
  <c r="S39" i="1"/>
  <c r="P39" i="1"/>
  <c r="S38" i="1"/>
  <c r="P38" i="1"/>
  <c r="S37" i="1"/>
  <c r="P37" i="1"/>
  <c r="S36" i="1"/>
  <c r="P36" i="1"/>
  <c r="S35" i="1"/>
  <c r="P35" i="1"/>
  <c r="S34" i="1"/>
  <c r="P34" i="1"/>
  <c r="S33" i="1"/>
  <c r="P33" i="1"/>
  <c r="S32" i="1"/>
  <c r="P32" i="1"/>
  <c r="S31" i="1"/>
  <c r="P31" i="1"/>
  <c r="S30" i="1"/>
  <c r="P30" i="1"/>
  <c r="S29" i="1"/>
  <c r="P29" i="1"/>
  <c r="S28" i="1"/>
  <c r="P28" i="1"/>
  <c r="S27" i="1"/>
  <c r="P27" i="1"/>
  <c r="S26" i="1"/>
  <c r="P26" i="1"/>
  <c r="S25" i="1"/>
  <c r="P25" i="1"/>
  <c r="S24" i="1"/>
  <c r="P24" i="1"/>
  <c r="S23" i="1"/>
  <c r="P23" i="1"/>
  <c r="S22" i="1"/>
  <c r="P22" i="1"/>
  <c r="S21" i="1"/>
  <c r="P21" i="1"/>
  <c r="S20" i="1"/>
  <c r="P20" i="1"/>
  <c r="S19" i="1"/>
  <c r="P19" i="1"/>
  <c r="S18" i="1"/>
  <c r="P18" i="1"/>
  <c r="S17" i="1"/>
  <c r="P17" i="1"/>
  <c r="S16" i="1"/>
  <c r="P16" i="1"/>
  <c r="S15" i="1"/>
  <c r="P15" i="1"/>
  <c r="S14" i="1"/>
  <c r="P14" i="1"/>
  <c r="S13" i="1"/>
  <c r="P13" i="1"/>
  <c r="S12" i="1"/>
  <c r="P12" i="1"/>
  <c r="S11" i="1"/>
  <c r="P11" i="1"/>
  <c r="S10" i="1"/>
  <c r="P10" i="1"/>
  <c r="S9" i="1"/>
  <c r="P9" i="1"/>
  <c r="S8" i="1"/>
  <c r="P8" i="1"/>
  <c r="S7" i="1"/>
  <c r="P7" i="1"/>
  <c r="S6" i="1"/>
  <c r="P6" i="1"/>
  <c r="S5" i="1"/>
  <c r="P5" i="1"/>
  <c r="S4" i="1"/>
  <c r="P4" i="1"/>
  <c r="S3" i="1"/>
  <c r="P3" i="1"/>
  <c r="S2" i="1"/>
  <c r="P2" i="1"/>
</calcChain>
</file>

<file path=xl/sharedStrings.xml><?xml version="1.0" encoding="utf-8"?>
<sst xmlns="http://schemas.openxmlformats.org/spreadsheetml/2006/main" count="666" uniqueCount="70">
  <si>
    <t>Gender</t>
  </si>
  <si>
    <t>Age</t>
  </si>
  <si>
    <t>Investment_Avenues</t>
  </si>
  <si>
    <t>Mutual_Funds</t>
  </si>
  <si>
    <t>Equity_Market</t>
  </si>
  <si>
    <t>Debentures</t>
  </si>
  <si>
    <t>Government_Bonds</t>
  </si>
  <si>
    <t>Fixed_Deposits</t>
  </si>
  <si>
    <t>PPF</t>
  </si>
  <si>
    <t>Gold</t>
  </si>
  <si>
    <t>Stock_Marktet</t>
  </si>
  <si>
    <t>Factor</t>
  </si>
  <si>
    <t>Objective</t>
  </si>
  <si>
    <t>Purpose</t>
  </si>
  <si>
    <t xml:space="preserve">Duration </t>
  </si>
  <si>
    <t>Duration_Num</t>
  </si>
  <si>
    <t>Invest_Monitor</t>
  </si>
  <si>
    <t>Expect</t>
  </si>
  <si>
    <t>Expect_Num</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</si>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</sst>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4"/>
      <color theme="1"/>
      <name val="Aptos Narrow"/>
      <family val="2"/>
      <scheme val="minor"/>
    </font>
    <font>
      <sz val="14"/>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xf>
    <xf numFmtId="0" fontId="2" fillId="0" borderId="0" xfId="0" applyFont="1"/>
    <xf numFmtId="0" fontId="0" fillId="0" borderId="0" xfId="0" applyAlignment="1">
      <alignment horizontal="center"/>
    </xf>
  </cellXfs>
  <cellStyles count="1">
    <cellStyle name="Normal" xfId="0" builtinId="0"/>
  </cellStyles>
  <dxfs count="30">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1"/>
        <name val="Aptos Narrow"/>
        <family val="2"/>
        <scheme val="minor"/>
      </font>
      <alignment horizontal="left" vertical="bottom" textRotation="0" wrapText="0" indent="0" justifyLastLine="0" shrinkToFit="0" readingOrder="0"/>
    </dxf>
    <dxf>
      <font>
        <b/>
        <color theme="1"/>
      </font>
      <border>
        <bottom style="thin">
          <color theme="5"/>
        </bottom>
        <vertical/>
        <horizontal/>
      </border>
    </dxf>
    <dxf>
      <font>
        <color theme="1"/>
      </font>
      <border diagonalUp="0" diagonalDown="0">
        <left/>
        <right/>
        <top/>
        <bottom/>
        <vertical/>
        <horizontal/>
      </border>
    </dxf>
  </dxfs>
  <tableStyles count="1" defaultTableStyle="TableStyleMedium2" defaultPivotStyle="PivotStyleLight16">
    <tableStyle name="SlicerStyleLight2 2" pivot="0" table="0" count="10" xr9:uid="{63EFC138-C07C-4362-AE84-47A849D34978}">
      <tableStyleElement type="wholeTable" dxfId="29"/>
      <tableStyleElement type="headerRow" dxfId="28"/>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100" b="0" i="0" u="none" strike="noStrike" kern="1200" cap="none" spc="20" baseline="0">
                <a:solidFill>
                  <a:sysClr val="windowText" lastClr="000000"/>
                </a:solidFill>
                <a:latin typeface="+mn-lt"/>
                <a:ea typeface="+mn-ea"/>
                <a:cs typeface="+mn-cs"/>
              </a:defRPr>
            </a:pPr>
            <a:r>
              <a:rPr lang="en-IN" sz="1100" b="1" i="0" u="none" strike="noStrike" cap="none" baseline="0">
                <a:solidFill>
                  <a:sysClr val="windowText" lastClr="000000"/>
                </a:solidFill>
              </a:rPr>
              <a:t>Radar Chart</a:t>
            </a:r>
            <a:endParaRPr lang="en-IN" sz="1100" b="1">
              <a:solidFill>
                <a:sysClr val="windowText" lastClr="000000"/>
              </a:solidFill>
            </a:endParaRPr>
          </a:p>
        </c:rich>
      </c:tx>
      <c:layout>
        <c:manualLayout>
          <c:xMode val="edge"/>
          <c:yMode val="edge"/>
          <c:x val="0.39455263404574437"/>
          <c:y val="4.9273054351352145E-2"/>
        </c:manualLayout>
      </c:layout>
      <c:overlay val="0"/>
      <c:spPr>
        <a:noFill/>
        <a:ln>
          <a:noFill/>
        </a:ln>
        <a:effectLst/>
      </c:spPr>
      <c:txPr>
        <a:bodyPr rot="0" spcFirstLastPara="1" vertOverflow="ellipsis" vert="horz" wrap="square" anchor="ctr" anchorCtr="1"/>
        <a:lstStyle/>
        <a:p>
          <a:pPr>
            <a:defRPr sz="1100" b="0" i="0" u="none" strike="noStrike" kern="1200" cap="none" spc="20" baseline="0">
              <a:solidFill>
                <a:sysClr val="windowText" lastClr="000000"/>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lumMod val="60000"/>
                <a:lumOff val="40000"/>
              </a:schemeClr>
            </a:solidFill>
            <a:round/>
          </a:ln>
          <a:effectLst/>
        </c:spPr>
        <c:marker>
          <c:symbol val="circle"/>
          <c:size val="4"/>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pivotFmt>
      <c:pivotFmt>
        <c:idx val="9"/>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lumMod val="60000"/>
                <a:lumOff val="40000"/>
              </a:schemeClr>
            </a:solidFill>
            <a:round/>
          </a:ln>
          <a:effectLst/>
        </c:spPr>
        <c:marker>
          <c:symbol val="circle"/>
          <c:size val="4"/>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lumMod val="60000"/>
                <a:lumOff val="40000"/>
              </a:schemeClr>
            </a:solidFill>
            <a:round/>
          </a:ln>
          <a:effectLst/>
        </c:spPr>
        <c:marker>
          <c:symbol val="circle"/>
          <c:size val="4"/>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solidFill>
            <a:round/>
          </a:ln>
          <a:effectLst/>
        </c:spPr>
        <c:marker>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15875" cap="rnd" cmpd="sng" algn="ctr">
            <a:solidFill>
              <a:schemeClr val="accent2">
                <a:lumMod val="60000"/>
                <a:lumOff val="40000"/>
              </a:schemeClr>
            </a:solidFill>
            <a:round/>
          </a:ln>
          <a:effectLst/>
        </c:spPr>
        <c:marker>
          <c:symbol val="circle"/>
          <c:size val="4"/>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Female</c:v>
          </c:tx>
          <c:spPr>
            <a:ln w="15875" cap="rnd">
              <a:solidFill>
                <a:srgbClr val="92D050"/>
              </a:solidFill>
              <a:round/>
            </a:ln>
            <a:effectLst/>
          </c:spPr>
          <c:marker>
            <c:symbol val="circle"/>
            <c:size val="4"/>
            <c:spPr>
              <a:gradFill rotWithShape="1">
                <a:gsLst>
                  <a:gs pos="0">
                    <a:schemeClr val="accent2">
                      <a:shade val="76000"/>
                      <a:lumMod val="110000"/>
                      <a:satMod val="105000"/>
                      <a:tint val="67000"/>
                    </a:schemeClr>
                  </a:gs>
                  <a:gs pos="50000">
                    <a:schemeClr val="accent2">
                      <a:shade val="76000"/>
                      <a:lumMod val="105000"/>
                      <a:satMod val="103000"/>
                      <a:tint val="73000"/>
                    </a:schemeClr>
                  </a:gs>
                  <a:gs pos="100000">
                    <a:schemeClr val="accent2">
                      <a:shade val="76000"/>
                      <a:lumMod val="105000"/>
                      <a:satMod val="109000"/>
                      <a:tint val="81000"/>
                    </a:schemeClr>
                  </a:gs>
                </a:gsLst>
                <a:lin ang="5400000" scaled="0"/>
              </a:gradFill>
              <a:ln w="9525" cap="flat" cmpd="sng" algn="ctr">
                <a:solidFill>
                  <a:schemeClr val="accent2">
                    <a:shade val="76000"/>
                    <a:shade val="95000"/>
                  </a:schemeClr>
                </a:solidFill>
                <a:round/>
              </a:ln>
              <a:effectLst/>
            </c:spPr>
          </c:marker>
          <c:cat>
            <c:strLit>
              <c:ptCount val="3"/>
              <c:pt idx="0">
                <c:v>10%-20%</c:v>
              </c:pt>
              <c:pt idx="1">
                <c:v>20%-30%</c:v>
              </c:pt>
              <c:pt idx="2">
                <c:v>30%-40%</c:v>
              </c:pt>
            </c:strLit>
          </c:cat>
          <c:val>
            <c:numLit>
              <c:formatCode>General</c:formatCode>
              <c:ptCount val="3"/>
              <c:pt idx="0">
                <c:v>1</c:v>
              </c:pt>
              <c:pt idx="1">
                <c:v>12</c:v>
              </c:pt>
              <c:pt idx="2">
                <c:v>2</c:v>
              </c:pt>
            </c:numLit>
          </c:val>
          <c:extLst>
            <c:ext xmlns:c16="http://schemas.microsoft.com/office/drawing/2014/chart" uri="{C3380CC4-5D6E-409C-BE32-E72D297353CC}">
              <c16:uniqueId val="{00000000-D253-4B8E-8556-3264F31AA889}"/>
            </c:ext>
          </c:extLst>
        </c:ser>
        <c:ser>
          <c:idx val="1"/>
          <c:order val="1"/>
          <c:tx>
            <c:v>Male</c:v>
          </c:tx>
          <c:spPr>
            <a:ln w="15875" cap="rnd">
              <a:solidFill>
                <a:schemeClr val="accent2">
                  <a:lumMod val="60000"/>
                  <a:lumOff val="40000"/>
                </a:schemeClr>
              </a:solidFill>
              <a:round/>
            </a:ln>
            <a:effectLst/>
          </c:spPr>
          <c:marker>
            <c:symbol val="circle"/>
            <c:size val="4"/>
            <c:spPr>
              <a:gradFill rotWithShape="1">
                <a:gsLst>
                  <a:gs pos="0">
                    <a:schemeClr val="accent2">
                      <a:tint val="77000"/>
                      <a:lumMod val="110000"/>
                      <a:satMod val="105000"/>
                      <a:tint val="67000"/>
                    </a:schemeClr>
                  </a:gs>
                  <a:gs pos="50000">
                    <a:schemeClr val="accent2">
                      <a:tint val="77000"/>
                      <a:lumMod val="105000"/>
                      <a:satMod val="103000"/>
                      <a:tint val="73000"/>
                    </a:schemeClr>
                  </a:gs>
                  <a:gs pos="100000">
                    <a:schemeClr val="accent2">
                      <a:tint val="77000"/>
                      <a:lumMod val="105000"/>
                      <a:satMod val="109000"/>
                      <a:tint val="81000"/>
                    </a:schemeClr>
                  </a:gs>
                </a:gsLst>
                <a:lin ang="5400000" scaled="0"/>
              </a:gradFill>
              <a:ln w="9525" cap="flat" cmpd="sng" algn="ctr">
                <a:solidFill>
                  <a:schemeClr val="accent2">
                    <a:tint val="77000"/>
                    <a:shade val="95000"/>
                  </a:schemeClr>
                </a:solidFill>
                <a:round/>
              </a:ln>
              <a:effectLst/>
            </c:spPr>
          </c:marker>
          <c:cat>
            <c:strLit>
              <c:ptCount val="3"/>
              <c:pt idx="0">
                <c:v>10%-20%</c:v>
              </c:pt>
              <c:pt idx="1">
                <c:v>20%-30%</c:v>
              </c:pt>
              <c:pt idx="2">
                <c:v>30%-40%</c:v>
              </c:pt>
            </c:strLit>
          </c:cat>
          <c:val>
            <c:numLit>
              <c:formatCode>General</c:formatCode>
              <c:ptCount val="3"/>
              <c:pt idx="0">
                <c:v>2</c:v>
              </c:pt>
              <c:pt idx="1">
                <c:v>20</c:v>
              </c:pt>
              <c:pt idx="2">
                <c:v>3</c:v>
              </c:pt>
            </c:numLit>
          </c:val>
          <c:extLst>
            <c:ext xmlns:c16="http://schemas.microsoft.com/office/drawing/2014/chart" uri="{C3380CC4-5D6E-409C-BE32-E72D297353CC}">
              <c16:uniqueId val="{00000001-D253-4B8E-8556-3264F31AA889}"/>
            </c:ext>
          </c:extLst>
        </c:ser>
        <c:dLbls>
          <c:showLegendKey val="0"/>
          <c:showVal val="0"/>
          <c:showCatName val="0"/>
          <c:showSerName val="0"/>
          <c:showPercent val="0"/>
          <c:showBubbleSize val="0"/>
        </c:dLbls>
        <c:axId val="1036884008"/>
        <c:axId val="1036884728"/>
      </c:radarChart>
      <c:catAx>
        <c:axId val="1036884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6884728"/>
        <c:crosses val="autoZero"/>
        <c:auto val="1"/>
        <c:lblAlgn val="ctr"/>
        <c:lblOffset val="100"/>
        <c:noMultiLvlLbl val="0"/>
      </c:catAx>
      <c:valAx>
        <c:axId val="1036884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3688400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baseline="0">
                <a:solidFill>
                  <a:schemeClr val="tx1">
                    <a:lumMod val="65000"/>
                    <a:lumOff val="35000"/>
                  </a:schemeClr>
                </a:solidFill>
                <a:latin typeface="+mn-lt"/>
                <a:ea typeface="+mn-ea"/>
                <a:cs typeface="+mn-cs"/>
              </a:defRPr>
            </a:pPr>
            <a:r>
              <a:rPr lang="en-IN" sz="1100" b="1" i="0" u="none" strike="noStrike" kern="1200" cap="all" baseline="0">
                <a:solidFill>
                  <a:sysClr val="windowText" lastClr="000000"/>
                </a:solidFill>
              </a:rPr>
              <a:t>Gender Distribution </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63500" sx="102000" sy="102000" algn="ctr" rotWithShape="0">
              <a:prstClr val="black">
                <a:alpha val="20000"/>
              </a:prstClr>
            </a:outerShdw>
          </a:effectLst>
        </c:spPr>
      </c:pivotFmt>
      <c:pivotFmt>
        <c:idx val="5"/>
        <c:spPr>
          <a:solidFill>
            <a:schemeClr val="accent2"/>
          </a:solidFill>
          <a:ln>
            <a:noFill/>
          </a:ln>
          <a:effectLst>
            <a:outerShdw blurRad="63500" sx="102000" sy="102000" algn="ctr" rotWithShape="0">
              <a:prstClr val="black">
                <a:alpha val="20000"/>
              </a:prstClr>
            </a:outerShdw>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pivotFmt>
      <c:pivotFmt>
        <c:idx val="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pivotFmt>
      <c:pivotFmt>
        <c:idx val="10"/>
        <c:spPr>
          <a:solidFill>
            <a:schemeClr val="accent6">
              <a:lumMod val="75000"/>
            </a:schemeClr>
          </a:solidFill>
          <a:ln>
            <a:solidFill>
              <a:schemeClr val="accent3">
                <a:lumMod val="60000"/>
                <a:lumOff val="40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6">
              <a:lumMod val="75000"/>
            </a:schemeClr>
          </a:solidFill>
          <a:ln>
            <a:solidFill>
              <a:schemeClr val="accent3">
                <a:lumMod val="60000"/>
                <a:lumOff val="40000"/>
              </a:schemeClr>
            </a:solidFill>
          </a:ln>
          <a:effectLst>
            <a:outerShdw blurRad="38100" sx="102000" sy="102000" algn="ctr" rotWithShape="0">
              <a:prstClr val="black">
                <a:alpha val="20000"/>
              </a:prstClr>
            </a:outerShdw>
          </a:effectLst>
        </c:spPr>
      </c:pivotFmt>
      <c:pivotFmt>
        <c:idx val="12"/>
        <c:spPr>
          <a:solidFill>
            <a:schemeClr val="accent2">
              <a:lumMod val="75000"/>
            </a:schemeClr>
          </a:solidFill>
          <a:ln>
            <a:solidFill>
              <a:schemeClr val="accent3">
                <a:lumMod val="60000"/>
                <a:lumOff val="40000"/>
              </a:schemeClr>
            </a:solidFill>
          </a:ln>
        </c:spPr>
      </c:pivotFmt>
      <c:pivotFmt>
        <c:idx val="13"/>
        <c:spPr>
          <a:solidFill>
            <a:schemeClr val="accent6">
              <a:lumMod val="75000"/>
            </a:schemeClr>
          </a:solidFill>
          <a:ln>
            <a:solidFill>
              <a:schemeClr val="accent3">
                <a:lumMod val="60000"/>
                <a:lumOff val="40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6">
              <a:lumMod val="75000"/>
            </a:schemeClr>
          </a:solidFill>
          <a:ln>
            <a:solidFill>
              <a:schemeClr val="accent3">
                <a:lumMod val="60000"/>
                <a:lumOff val="40000"/>
              </a:schemeClr>
            </a:solidFill>
          </a:ln>
          <a:effectLst>
            <a:outerShdw blurRad="38100" sx="102000" sy="102000" algn="ctr" rotWithShape="0">
              <a:prstClr val="black">
                <a:alpha val="20000"/>
              </a:prstClr>
            </a:outerShdw>
          </a:effectLst>
        </c:spPr>
      </c:pivotFmt>
      <c:pivotFmt>
        <c:idx val="15"/>
        <c:spPr>
          <a:solidFill>
            <a:schemeClr val="accent2">
              <a:lumMod val="75000"/>
            </a:schemeClr>
          </a:solidFill>
          <a:ln>
            <a:solidFill>
              <a:schemeClr val="accent3">
                <a:lumMod val="60000"/>
                <a:lumOff val="40000"/>
              </a:schemeClr>
            </a:solidFill>
          </a:ln>
        </c:spPr>
      </c:pivotFmt>
    </c:pivotFmts>
    <c:plotArea>
      <c:layout/>
      <c:pieChart>
        <c:varyColors val="1"/>
        <c:ser>
          <c:idx val="0"/>
          <c:order val="0"/>
          <c:tx>
            <c:v>Total</c:v>
          </c:tx>
          <c:spPr>
            <a:solidFill>
              <a:schemeClr val="accent6">
                <a:lumMod val="75000"/>
              </a:schemeClr>
            </a:solidFill>
            <a:ln>
              <a:solidFill>
                <a:schemeClr val="accent3">
                  <a:lumMod val="60000"/>
                  <a:lumOff val="40000"/>
                </a:schemeClr>
              </a:solidFill>
            </a:ln>
          </c:spPr>
          <c:dPt>
            <c:idx val="0"/>
            <c:bubble3D val="0"/>
            <c:spPr>
              <a:solidFill>
                <a:schemeClr val="accent6">
                  <a:lumMod val="75000"/>
                </a:schemeClr>
              </a:solidFill>
              <a:ln>
                <a:solidFill>
                  <a:schemeClr val="accent3">
                    <a:lumMod val="60000"/>
                    <a:lumOff val="40000"/>
                  </a:schemeClr>
                </a:solidFill>
              </a:ln>
              <a:effectLst>
                <a:outerShdw blurRad="38100" sx="102000" sy="102000" algn="ctr" rotWithShape="0">
                  <a:prstClr val="black">
                    <a:alpha val="20000"/>
                  </a:prstClr>
                </a:outerShdw>
              </a:effectLst>
            </c:spPr>
            <c:extLst>
              <c:ext xmlns:c16="http://schemas.microsoft.com/office/drawing/2014/chart" uri="{C3380CC4-5D6E-409C-BE32-E72D297353CC}">
                <c16:uniqueId val="{00000001-244B-424D-A170-147BD58276C9}"/>
              </c:ext>
            </c:extLst>
          </c:dPt>
          <c:dPt>
            <c:idx val="1"/>
            <c:bubble3D val="0"/>
            <c:spPr>
              <a:solidFill>
                <a:schemeClr val="accent2">
                  <a:lumMod val="75000"/>
                </a:schemeClr>
              </a:solidFill>
              <a:ln>
                <a:solidFill>
                  <a:schemeClr val="accent3">
                    <a:lumMod val="60000"/>
                    <a:lumOff val="40000"/>
                  </a:schemeClr>
                </a:solidFill>
              </a:ln>
            </c:spPr>
            <c:extLst>
              <c:ext xmlns:c16="http://schemas.microsoft.com/office/drawing/2014/chart" uri="{C3380CC4-5D6E-409C-BE32-E72D297353CC}">
                <c16:uniqueId val="{00000003-244B-424D-A170-147BD58276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c:v>
              </c:pt>
              <c:pt idx="1">
                <c:v>25</c:v>
              </c:pt>
            </c:numLit>
          </c:val>
          <c:extLst>
            <c:ext xmlns:c16="http://schemas.microsoft.com/office/drawing/2014/chart" uri="{C3380CC4-5D6E-409C-BE32-E72D297353CC}">
              <c16:uniqueId val="{00000004-244B-424D-A170-147BD58276C9}"/>
            </c:ext>
          </c:extLst>
        </c:ser>
        <c:dLbls>
          <c:dLblPos val="outEnd"/>
          <c:showLegendKey val="0"/>
          <c:showVal val="1"/>
          <c:showCatName val="0"/>
          <c:showSerName val="0"/>
          <c:showPercent val="0"/>
          <c:showBubbleSize val="0"/>
          <c:showLeaderLines val="1"/>
        </c:dLbls>
        <c:firstSliceAng val="67"/>
      </c:pieChart>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ysClr val="windowText" lastClr="000000"/>
                </a:solidFill>
              </a:rPr>
              <a:t>Distribution of Participants Across Investment Avenues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Female</c:v>
          </c:tx>
          <c:spPr>
            <a:solidFill>
              <a:srgbClr val="99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Mutual_Funds </c:v>
              </c:pt>
              <c:pt idx="1">
                <c:v>Stock_Marktet </c:v>
              </c:pt>
              <c:pt idx="2">
                <c:v>Gold </c:v>
              </c:pt>
              <c:pt idx="3">
                <c:v>PPF </c:v>
              </c:pt>
              <c:pt idx="4">
                <c:v>Fixed_Deposits </c:v>
              </c:pt>
              <c:pt idx="5">
                <c:v>Government_Bonds </c:v>
              </c:pt>
              <c:pt idx="6">
                <c:v>Equity_Market </c:v>
              </c:pt>
              <c:pt idx="7">
                <c:v>Debentures </c:v>
              </c:pt>
            </c:strLit>
          </c:cat>
          <c:val>
            <c:numLit>
              <c:formatCode>General</c:formatCode>
              <c:ptCount val="8"/>
              <c:pt idx="0">
                <c:v>41</c:v>
              </c:pt>
              <c:pt idx="1">
                <c:v>15</c:v>
              </c:pt>
              <c:pt idx="2">
                <c:v>88</c:v>
              </c:pt>
              <c:pt idx="3">
                <c:v>35</c:v>
              </c:pt>
              <c:pt idx="4">
                <c:v>63</c:v>
              </c:pt>
              <c:pt idx="5">
                <c:v>65</c:v>
              </c:pt>
              <c:pt idx="6">
                <c:v>50</c:v>
              </c:pt>
              <c:pt idx="7">
                <c:v>78</c:v>
              </c:pt>
            </c:numLit>
          </c:val>
          <c:extLst>
            <c:ext xmlns:c16="http://schemas.microsoft.com/office/drawing/2014/chart" uri="{C3380CC4-5D6E-409C-BE32-E72D297353CC}">
              <c16:uniqueId val="{00000000-5A40-438A-9ABA-B20773C07B5A}"/>
            </c:ext>
          </c:extLst>
        </c:ser>
        <c:ser>
          <c:idx val="1"/>
          <c:order val="1"/>
          <c:tx>
            <c:v>Male</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Mutual_Funds </c:v>
              </c:pt>
              <c:pt idx="1">
                <c:v>Stock_Marktet </c:v>
              </c:pt>
              <c:pt idx="2">
                <c:v>Gold </c:v>
              </c:pt>
              <c:pt idx="3">
                <c:v>PPF </c:v>
              </c:pt>
              <c:pt idx="4">
                <c:v>Fixed_Deposits </c:v>
              </c:pt>
              <c:pt idx="5">
                <c:v>Government_Bonds </c:v>
              </c:pt>
              <c:pt idx="6">
                <c:v>Equity_Market </c:v>
              </c:pt>
              <c:pt idx="7">
                <c:v>Debentures </c:v>
              </c:pt>
            </c:strLit>
          </c:cat>
          <c:val>
            <c:numLit>
              <c:formatCode>General</c:formatCode>
              <c:ptCount val="8"/>
              <c:pt idx="0">
                <c:v>61</c:v>
              </c:pt>
              <c:pt idx="1">
                <c:v>25</c:v>
              </c:pt>
              <c:pt idx="2">
                <c:v>151</c:v>
              </c:pt>
              <c:pt idx="3">
                <c:v>46</c:v>
              </c:pt>
              <c:pt idx="4">
                <c:v>80</c:v>
              </c:pt>
              <c:pt idx="5">
                <c:v>121</c:v>
              </c:pt>
              <c:pt idx="6">
                <c:v>89</c:v>
              </c:pt>
              <c:pt idx="7">
                <c:v>152</c:v>
              </c:pt>
            </c:numLit>
          </c:val>
          <c:extLst>
            <c:ext xmlns:c16="http://schemas.microsoft.com/office/drawing/2014/chart" uri="{C3380CC4-5D6E-409C-BE32-E72D297353CC}">
              <c16:uniqueId val="{00000001-5A40-438A-9ABA-B20773C07B5A}"/>
            </c:ext>
          </c:extLst>
        </c:ser>
        <c:dLbls>
          <c:dLblPos val="outEnd"/>
          <c:showLegendKey val="0"/>
          <c:showVal val="1"/>
          <c:showCatName val="0"/>
          <c:showSerName val="0"/>
          <c:showPercent val="0"/>
          <c:showBubbleSize val="0"/>
        </c:dLbls>
        <c:gapWidth val="182"/>
        <c:axId val="647972120"/>
        <c:axId val="647971400"/>
      </c:barChart>
      <c:catAx>
        <c:axId val="6479721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Investment Avenues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7971400"/>
        <c:crosses val="autoZero"/>
        <c:auto val="1"/>
        <c:lblAlgn val="ctr"/>
        <c:lblOffset val="100"/>
        <c:noMultiLvlLbl val="0"/>
      </c:catAx>
      <c:valAx>
        <c:axId val="647971400"/>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000" b="0" i="0" u="none" strike="noStrike" baseline="0"/>
                  <a:t>Total Investment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crossAx val="647972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baseline="0">
                <a:solidFill>
                  <a:sysClr val="windowText" lastClr="000000"/>
                </a:solidFill>
              </a:rPr>
              <a:t>Participants’ Reasons for Investment Choices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9966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Female</c:v>
          </c:tx>
          <c:spPr>
            <a:solidFill>
              <a:srgbClr val="9966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Reason_Equity </c:v>
              </c:pt>
              <c:pt idx="1">
                <c:v>Reason_Mutual </c:v>
              </c:pt>
              <c:pt idx="2">
                <c:v>Reason_FD </c:v>
              </c:pt>
              <c:pt idx="3">
                <c:v>Reason_Bonds </c:v>
              </c:pt>
            </c:strLit>
          </c:cat>
          <c:val>
            <c:numLit>
              <c:formatCode>General</c:formatCode>
              <c:ptCount val="4"/>
              <c:pt idx="0">
                <c:v>15</c:v>
              </c:pt>
              <c:pt idx="1">
                <c:v>15</c:v>
              </c:pt>
              <c:pt idx="2">
                <c:v>15</c:v>
              </c:pt>
              <c:pt idx="3">
                <c:v>15</c:v>
              </c:pt>
            </c:numLit>
          </c:val>
          <c:extLst>
            <c:ext xmlns:c16="http://schemas.microsoft.com/office/drawing/2014/chart" uri="{C3380CC4-5D6E-409C-BE32-E72D297353CC}">
              <c16:uniqueId val="{00000000-727D-4FE1-9C9A-BF01B1468DE8}"/>
            </c:ext>
          </c:extLst>
        </c:ser>
        <c:ser>
          <c:idx val="1"/>
          <c:order val="1"/>
          <c:tx>
            <c:v>Male</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Reason_Equity </c:v>
              </c:pt>
              <c:pt idx="1">
                <c:v>Reason_Mutual </c:v>
              </c:pt>
              <c:pt idx="2">
                <c:v>Reason_FD </c:v>
              </c:pt>
              <c:pt idx="3">
                <c:v>Reason_Bonds </c:v>
              </c:pt>
            </c:strLit>
          </c:cat>
          <c:val>
            <c:numLit>
              <c:formatCode>General</c:formatCode>
              <c:ptCount val="4"/>
              <c:pt idx="0">
                <c:v>25</c:v>
              </c:pt>
              <c:pt idx="1">
                <c:v>25</c:v>
              </c:pt>
              <c:pt idx="2">
                <c:v>25</c:v>
              </c:pt>
              <c:pt idx="3">
                <c:v>25</c:v>
              </c:pt>
            </c:numLit>
          </c:val>
          <c:extLst>
            <c:ext xmlns:c16="http://schemas.microsoft.com/office/drawing/2014/chart" uri="{C3380CC4-5D6E-409C-BE32-E72D297353CC}">
              <c16:uniqueId val="{00000001-727D-4FE1-9C9A-BF01B1468DE8}"/>
            </c:ext>
          </c:extLst>
        </c:ser>
        <c:dLbls>
          <c:dLblPos val="outEnd"/>
          <c:showLegendKey val="0"/>
          <c:showVal val="1"/>
          <c:showCatName val="0"/>
          <c:showSerName val="0"/>
          <c:showPercent val="0"/>
          <c:showBubbleSize val="0"/>
        </c:dLbls>
        <c:gapWidth val="219"/>
        <c:overlap val="-27"/>
        <c:axId val="800065344"/>
        <c:axId val="800062104"/>
      </c:barChart>
      <c:catAx>
        <c:axId val="800065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062104"/>
        <c:crosses val="autoZero"/>
        <c:auto val="1"/>
        <c:lblAlgn val="ctr"/>
        <c:lblOffset val="100"/>
        <c:noMultiLvlLbl val="0"/>
      </c:catAx>
      <c:valAx>
        <c:axId val="800062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06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ysClr val="windowText" lastClr="000000"/>
                </a:solidFill>
                <a:latin typeface="+mj-lt"/>
                <a:ea typeface="+mn-ea"/>
                <a:cs typeface="+mn-cs"/>
              </a:defRPr>
            </a:pPr>
            <a:r>
              <a:rPr lang="en-IN" sz="1100" b="1">
                <a:solidFill>
                  <a:sysClr val="windowText" lastClr="000000"/>
                </a:solidFill>
                <a:latin typeface="+mj-lt"/>
              </a:rPr>
              <a:t>SAVING OBJECTIVES</a:t>
            </a:r>
          </a:p>
        </c:rich>
      </c:tx>
      <c:layout>
        <c:manualLayout>
          <c:xMode val="edge"/>
          <c:yMode val="edge"/>
          <c:x val="0.17937330202145785"/>
          <c:y val="4.9019607843137254E-2"/>
        </c:manualLayout>
      </c:layout>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j-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1"/>
          <c:showBubbleSize val="0"/>
          <c:extLst>
            <c:ext xmlns:c15="http://schemas.microsoft.com/office/drawing/2012/chart" uri="{CE6537A1-D6FC-4f65-9D91-7224C49458BB}"/>
          </c:extLst>
        </c:dLbl>
      </c:pivotFmt>
      <c:pivotFmt>
        <c:idx val="20"/>
        <c:dLbl>
          <c:idx val="0"/>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1"/>
          <c:showBubbleSize val="0"/>
          <c:extLst>
            <c:ext xmlns:c15="http://schemas.microsoft.com/office/drawing/2012/chart" uri="{CE6537A1-D6FC-4f65-9D91-7224C49458BB}"/>
          </c:extLst>
        </c:dLbl>
      </c:pivotFmt>
      <c:pivotFmt>
        <c:idx val="22"/>
        <c:dLbl>
          <c:idx val="0"/>
          <c:showLegendKey val="0"/>
          <c:showVal val="0"/>
          <c:showCatName val="0"/>
          <c:showSerName val="0"/>
          <c:showPercent val="1"/>
          <c:showBubbleSize val="0"/>
          <c:extLst>
            <c:ext xmlns:c15="http://schemas.microsoft.com/office/drawing/2012/chart" uri="{CE6537A1-D6FC-4f65-9D91-7224C49458BB}"/>
          </c:extLst>
        </c:dLbl>
      </c:pivotFmt>
      <c:pivotFmt>
        <c:idx val="23"/>
        <c:dLbl>
          <c:idx val="0"/>
          <c:showLegendKey val="0"/>
          <c:showVal val="0"/>
          <c:showCatName val="0"/>
          <c:showSerName val="0"/>
          <c:showPercent val="1"/>
          <c:showBubbleSize val="0"/>
          <c:extLst>
            <c:ext xmlns:c15="http://schemas.microsoft.com/office/drawing/2012/chart" uri="{CE6537A1-D6FC-4f65-9D91-7224C49458BB}"/>
          </c:extLst>
        </c:dLbl>
      </c:pivotFmt>
      <c:pivotFmt>
        <c:idx val="24"/>
        <c:dLbl>
          <c:idx val="0"/>
          <c:showLegendKey val="0"/>
          <c:showVal val="0"/>
          <c:showCatName val="0"/>
          <c:showSerName val="0"/>
          <c:showPercent val="1"/>
          <c:showBubbleSize val="0"/>
          <c:extLst>
            <c:ext xmlns:c15="http://schemas.microsoft.com/office/drawing/2012/chart" uri="{CE6537A1-D6FC-4f65-9D91-7224C49458BB}"/>
          </c:extLst>
        </c:dLbl>
      </c:pivotFmt>
      <c:pivotFmt>
        <c:idx val="25"/>
        <c:dLbl>
          <c:idx val="0"/>
          <c:showLegendKey val="0"/>
          <c:showVal val="0"/>
          <c:showCatName val="0"/>
          <c:showSerName val="0"/>
          <c:showPercent val="1"/>
          <c:showBubbleSize val="0"/>
          <c:extLst>
            <c:ext xmlns:c15="http://schemas.microsoft.com/office/drawing/2012/chart" uri="{CE6537A1-D6FC-4f65-9D91-7224C49458BB}"/>
          </c:extLst>
        </c:dLbl>
      </c:pivotFmt>
      <c:pivotFmt>
        <c:idx val="26"/>
        <c:dLbl>
          <c:idx val="0"/>
          <c:showLegendKey val="0"/>
          <c:showVal val="0"/>
          <c:showCatName val="0"/>
          <c:showSerName val="0"/>
          <c:showPercent val="1"/>
          <c:showBubbleSize val="0"/>
          <c:extLst>
            <c:ext xmlns:c15="http://schemas.microsoft.com/office/drawing/2012/chart" uri="{CE6537A1-D6FC-4f65-9D91-7224C49458BB}"/>
          </c:extLst>
        </c:dLbl>
      </c:pivotFmt>
      <c:pivotFmt>
        <c:idx val="27"/>
        <c:dLbl>
          <c:idx val="0"/>
          <c:showLegendKey val="0"/>
          <c:showVal val="0"/>
          <c:showCatName val="0"/>
          <c:showSerName val="0"/>
          <c:showPercent val="1"/>
          <c:showBubbleSize val="0"/>
          <c:extLst>
            <c:ext xmlns:c15="http://schemas.microsoft.com/office/drawing/2012/chart" uri="{CE6537A1-D6FC-4f65-9D91-7224C49458BB}"/>
          </c:extLst>
        </c:dLbl>
      </c:pivotFmt>
      <c:pivotFmt>
        <c:idx val="28"/>
        <c:dLbl>
          <c:idx val="0"/>
          <c:showLegendKey val="0"/>
          <c:showVal val="0"/>
          <c:showCatName val="0"/>
          <c:showSerName val="0"/>
          <c:showPercent val="1"/>
          <c:showBubbleSize val="0"/>
          <c:extLst>
            <c:ext xmlns:c15="http://schemas.microsoft.com/office/drawing/2012/chart" uri="{CE6537A1-D6FC-4f65-9D91-7224C49458BB}"/>
          </c:extLst>
        </c:dLbl>
      </c:pivotFmt>
      <c:pivotFmt>
        <c:idx val="29"/>
        <c:dLbl>
          <c:idx val="0"/>
          <c:showLegendKey val="0"/>
          <c:showVal val="0"/>
          <c:showCatName val="0"/>
          <c:showSerName val="0"/>
          <c:showPercent val="1"/>
          <c:showBubbleSize val="0"/>
          <c:extLst>
            <c:ext xmlns:c15="http://schemas.microsoft.com/office/drawing/2012/chart" uri="{CE6537A1-D6FC-4f65-9D91-7224C49458BB}"/>
          </c:extLst>
        </c:dLbl>
      </c:pivotFmt>
      <c:pivotFmt>
        <c:idx val="30"/>
        <c:dLbl>
          <c:idx val="0"/>
          <c:showLegendKey val="0"/>
          <c:showVal val="0"/>
          <c:showCatName val="0"/>
          <c:showSerName val="0"/>
          <c:showPercent val="1"/>
          <c:showBubbleSize val="0"/>
          <c:extLst>
            <c:ext xmlns:c15="http://schemas.microsoft.com/office/drawing/2012/chart" uri="{CE6537A1-D6FC-4f65-9D91-7224C49458BB}"/>
          </c:extLst>
        </c:dLbl>
      </c:pivotFmt>
      <c:pivotFmt>
        <c:idx val="31"/>
        <c:dLbl>
          <c:idx val="0"/>
          <c:showLegendKey val="0"/>
          <c:showVal val="0"/>
          <c:showCatName val="0"/>
          <c:showSerName val="0"/>
          <c:showPercent val="1"/>
          <c:showBubbleSize val="0"/>
          <c:extLst>
            <c:ext xmlns:c15="http://schemas.microsoft.com/office/drawing/2012/chart" uri="{CE6537A1-D6FC-4f65-9D91-7224C49458BB}"/>
          </c:extLst>
        </c:dLbl>
      </c:pivotFmt>
      <c:pivotFmt>
        <c:idx val="32"/>
        <c:dLbl>
          <c:idx val="0"/>
          <c:showLegendKey val="0"/>
          <c:showVal val="0"/>
          <c:showCatName val="0"/>
          <c:showSerName val="0"/>
          <c:showPercent val="1"/>
          <c:showBubbleSize val="0"/>
          <c:extLst>
            <c:ext xmlns:c15="http://schemas.microsoft.com/office/drawing/2012/chart" uri="{CE6537A1-D6FC-4f65-9D91-7224C49458BB}"/>
          </c:extLst>
        </c:dLbl>
      </c:pivotFmt>
      <c:pivotFmt>
        <c:idx val="33"/>
        <c:dLbl>
          <c:idx val="0"/>
          <c:showLegendKey val="0"/>
          <c:showVal val="0"/>
          <c:showCatName val="0"/>
          <c:showSerName val="0"/>
          <c:showPercent val="1"/>
          <c:showBubbleSize val="0"/>
          <c:extLst>
            <c:ext xmlns:c15="http://schemas.microsoft.com/office/drawing/2012/chart" uri="{CE6537A1-D6FC-4f65-9D91-7224C49458BB}"/>
          </c:extLst>
        </c:dLbl>
      </c:pivotFmt>
      <c:pivotFmt>
        <c:idx val="34"/>
        <c:dLbl>
          <c:idx val="0"/>
          <c:showLegendKey val="0"/>
          <c:showVal val="0"/>
          <c:showCatName val="0"/>
          <c:showSerName val="0"/>
          <c:showPercent val="1"/>
          <c:showBubbleSize val="0"/>
          <c:extLst>
            <c:ext xmlns:c15="http://schemas.microsoft.com/office/drawing/2012/chart" uri="{CE6537A1-D6FC-4f65-9D91-7224C49458BB}"/>
          </c:extLst>
        </c:dLbl>
      </c:pivotFmt>
      <c:pivotFmt>
        <c:idx val="35"/>
        <c:dLbl>
          <c:idx val="0"/>
          <c:showLegendKey val="0"/>
          <c:showVal val="0"/>
          <c:showCatName val="0"/>
          <c:showSerName val="0"/>
          <c:showPercent val="1"/>
          <c:showBubbleSize val="0"/>
          <c:extLst>
            <c:ext xmlns:c15="http://schemas.microsoft.com/office/drawing/2012/chart" uri="{CE6537A1-D6FC-4f65-9D91-7224C49458BB}"/>
          </c:extLst>
        </c:dLbl>
      </c:pivotFmt>
      <c:pivotFmt>
        <c:idx val="36"/>
        <c:dLbl>
          <c:idx val="0"/>
          <c:showLegendKey val="0"/>
          <c:showVal val="0"/>
          <c:showCatName val="0"/>
          <c:showSerName val="0"/>
          <c:showPercent val="1"/>
          <c:showBubbleSize val="0"/>
          <c:extLst>
            <c:ext xmlns:c15="http://schemas.microsoft.com/office/drawing/2012/chart" uri="{CE6537A1-D6FC-4f65-9D91-7224C49458BB}"/>
          </c:extLst>
        </c:dLbl>
      </c:pivotFmt>
      <c:pivotFmt>
        <c:idx val="37"/>
        <c:dLbl>
          <c:idx val="0"/>
          <c:showLegendKey val="0"/>
          <c:showVal val="0"/>
          <c:showCatName val="0"/>
          <c:showSerName val="0"/>
          <c:showPercent val="1"/>
          <c:showBubbleSize val="0"/>
          <c:extLst>
            <c:ext xmlns:c15="http://schemas.microsoft.com/office/drawing/2012/chart" uri="{CE6537A1-D6FC-4f65-9D91-7224C49458BB}"/>
          </c:extLst>
        </c:dLbl>
      </c:pivotFmt>
      <c:pivotFmt>
        <c:idx val="38"/>
        <c:dLbl>
          <c:idx val="0"/>
          <c:showLegendKey val="0"/>
          <c:showVal val="0"/>
          <c:showCatName val="0"/>
          <c:showSerName val="0"/>
          <c:showPercent val="1"/>
          <c:showBubbleSize val="0"/>
          <c:extLst>
            <c:ext xmlns:c15="http://schemas.microsoft.com/office/drawing/2012/chart" uri="{CE6537A1-D6FC-4f65-9D91-7224C49458BB}"/>
          </c:extLst>
        </c:dLbl>
      </c:pivotFmt>
      <c:pivotFmt>
        <c:idx val="39"/>
        <c:dLbl>
          <c:idx val="0"/>
          <c:showLegendKey val="0"/>
          <c:showVal val="0"/>
          <c:showCatName val="0"/>
          <c:showSerName val="0"/>
          <c:showPercent val="1"/>
          <c:showBubbleSize val="0"/>
          <c:extLst>
            <c:ext xmlns:c15="http://schemas.microsoft.com/office/drawing/2012/chart" uri="{CE6537A1-D6FC-4f65-9D91-7224C49458BB}"/>
          </c:extLst>
        </c:dLbl>
      </c:pivotFmt>
      <c:pivotFmt>
        <c:idx val="40"/>
        <c:dLbl>
          <c:idx val="0"/>
          <c:showLegendKey val="0"/>
          <c:showVal val="0"/>
          <c:showCatName val="0"/>
          <c:showSerName val="0"/>
          <c:showPercent val="1"/>
          <c:showBubbleSize val="0"/>
          <c:extLst>
            <c:ext xmlns:c15="http://schemas.microsoft.com/office/drawing/2012/chart" uri="{CE6537A1-D6FC-4f65-9D91-7224C49458BB}"/>
          </c:extLst>
        </c:dLbl>
      </c:pivotFmt>
      <c:pivotFmt>
        <c:idx val="41"/>
        <c:dLbl>
          <c:idx val="0"/>
          <c:showLegendKey val="0"/>
          <c:showVal val="0"/>
          <c:showCatName val="0"/>
          <c:showSerName val="0"/>
          <c:showPercent val="1"/>
          <c:showBubbleSize val="0"/>
          <c:extLst>
            <c:ext xmlns:c15="http://schemas.microsoft.com/office/drawing/2012/chart" uri="{CE6537A1-D6FC-4f65-9D91-7224C49458BB}"/>
          </c:extLst>
        </c:dLbl>
      </c:pivotFmt>
      <c:pivotFmt>
        <c:idx val="42"/>
        <c:dLbl>
          <c:idx val="0"/>
          <c:showLegendKey val="0"/>
          <c:showVal val="0"/>
          <c:showCatName val="0"/>
          <c:showSerName val="0"/>
          <c:showPercent val="1"/>
          <c:showBubbleSize val="0"/>
          <c:extLst>
            <c:ext xmlns:c15="http://schemas.microsoft.com/office/drawing/2012/chart" uri="{CE6537A1-D6FC-4f65-9D91-7224C49458BB}"/>
          </c:extLst>
        </c:dLbl>
      </c:pivotFmt>
      <c:pivotFmt>
        <c:idx val="43"/>
        <c:dLbl>
          <c:idx val="0"/>
          <c:showLegendKey val="0"/>
          <c:showVal val="0"/>
          <c:showCatName val="0"/>
          <c:showSerName val="0"/>
          <c:showPercent val="1"/>
          <c:showBubbleSize val="0"/>
          <c:extLst>
            <c:ext xmlns:c15="http://schemas.microsoft.com/office/drawing/2012/chart" uri="{CE6537A1-D6FC-4f65-9D91-7224C49458BB}"/>
          </c:extLst>
        </c:dLbl>
      </c:pivotFmt>
      <c:pivotFmt>
        <c:idx val="4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45"/>
      </c:pivotFmt>
      <c:pivotFmt>
        <c:idx val="46"/>
      </c:pivotFmt>
      <c:pivotFmt>
        <c:idx val="47"/>
      </c:pivotFmt>
      <c:pivotFmt>
        <c:idx val="4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49"/>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1600">
                    <a:solidFill>
                      <a:schemeClr val="bg1"/>
                    </a:solidFill>
                  </a:rPr>
                  <a:pPr>
                    <a:defRPr sz="900" b="1" i="0" u="none" strike="noStrike" kern="1200" baseline="0">
                      <a:solidFill>
                        <a:schemeClr val="lt1"/>
                      </a:solidFill>
                      <a:latin typeface="+mn-lt"/>
                      <a:ea typeface="+mn-ea"/>
                      <a:cs typeface="+mn-cs"/>
                    </a:defRPr>
                  </a:pPr>
                  <a:t>[CATEGORY NAME]</a:t>
                </a:fld>
                <a:r>
                  <a:rPr lang="en-US" sz="1600" baseline="0">
                    <a:solidFill>
                      <a:schemeClr val="bg1"/>
                    </a:solidFill>
                  </a:rPr>
                  <a:t>
</a:t>
                </a:r>
                <a:fld id="{FCC59BD3-4859-4709-8B5E-1B9C9F2F28AB}" type="PERCENTAGE">
                  <a:rPr lang="en-US" sz="1600" baseline="0">
                    <a:solidFill>
                      <a:schemeClr val="bg1"/>
                    </a:solidFill>
                  </a:rPr>
                  <a:pPr>
                    <a:defRPr sz="900" b="1" i="0" u="none" strike="noStrike" kern="1200" baseline="0">
                      <a:solidFill>
                        <a:schemeClr val="lt1"/>
                      </a:solidFill>
                      <a:latin typeface="+mn-lt"/>
                      <a:ea typeface="+mn-ea"/>
                      <a:cs typeface="+mn-cs"/>
                    </a:defRPr>
                  </a:pPr>
                  <a:t>[PERCENTAGE]</a:t>
                </a:fld>
                <a:endParaRPr lang="en-US" sz="16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50"/>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9737280798E-2"/>
              <c:y val="0.206625784678107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2"/>
          </a:solidFill>
          <a:ln>
            <a:noFill/>
          </a:ln>
          <a:effectLst>
            <a:outerShdw blurRad="317500" algn="ctr" rotWithShape="0">
              <a:prstClr val="black">
                <a:alpha val="25000"/>
              </a:prstClr>
            </a:outerShdw>
          </a:effectLst>
        </c:spPr>
        <c:dLbl>
          <c:idx val="0"/>
          <c:layout>
            <c:manualLayout>
              <c:x val="-0.17691406923637495"/>
              <c:y val="0.1442678644372086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2"/>
          </a:solidFill>
          <a:ln>
            <a:noFill/>
          </a:ln>
          <a:effectLst>
            <a:outerShdw blurRad="317500" algn="ctr" rotWithShape="0">
              <a:prstClr val="black">
                <a:alpha val="25000"/>
              </a:prstClr>
            </a:outerShdw>
          </a:effectLst>
        </c:spPr>
      </c:pivotFmt>
      <c:pivotFmt>
        <c:idx val="54"/>
        <c:spPr>
          <a:solidFill>
            <a:schemeClr val="accent2"/>
          </a:solidFill>
          <a:ln>
            <a:noFill/>
          </a:ln>
          <a:effectLst>
            <a:outerShdw blurRad="317500" algn="ctr" rotWithShape="0">
              <a:prstClr val="black">
                <a:alpha val="25000"/>
              </a:prstClr>
            </a:outerShdw>
          </a:effectLst>
        </c:spPr>
      </c:pivotFmt>
      <c:pivotFmt>
        <c:idx val="55"/>
        <c:spPr>
          <a:solidFill>
            <a:schemeClr val="accent2"/>
          </a:solidFill>
          <a:ln>
            <a:noFill/>
          </a:ln>
          <a:effectLst>
            <a:outerShdw blurRad="317500" algn="ctr" rotWithShape="0">
              <a:prstClr val="black">
                <a:alpha val="25000"/>
              </a:prstClr>
            </a:outerShdw>
          </a:effectLst>
        </c:spPr>
      </c:pivotFmt>
      <c:pivotFmt>
        <c:idx val="5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1600">
                    <a:solidFill>
                      <a:schemeClr val="bg1"/>
                    </a:solidFill>
                  </a:rPr>
                  <a:pPr>
                    <a:defRPr sz="900" b="1" i="0" u="none" strike="noStrike" kern="1200" baseline="0">
                      <a:solidFill>
                        <a:schemeClr val="lt1"/>
                      </a:solidFill>
                      <a:latin typeface="+mn-lt"/>
                      <a:ea typeface="+mn-ea"/>
                      <a:cs typeface="+mn-cs"/>
                    </a:defRPr>
                  </a:pPr>
                  <a:t>[CATEGORY NAME]</a:t>
                </a:fld>
                <a:r>
                  <a:rPr lang="en-US" sz="1600" baseline="0">
                    <a:solidFill>
                      <a:schemeClr val="bg1"/>
                    </a:solidFill>
                  </a:rPr>
                  <a:t>
</a:t>
                </a:r>
                <a:fld id="{FCC59BD3-4859-4709-8B5E-1B9C9F2F28AB}" type="PERCENTAGE">
                  <a:rPr lang="en-US" sz="1600" baseline="0">
                    <a:solidFill>
                      <a:schemeClr val="bg1"/>
                    </a:solidFill>
                  </a:rPr>
                  <a:pPr>
                    <a:defRPr sz="900" b="1" i="0" u="none" strike="noStrike" kern="1200" baseline="0">
                      <a:solidFill>
                        <a:schemeClr val="lt1"/>
                      </a:solidFill>
                      <a:latin typeface="+mn-lt"/>
                      <a:ea typeface="+mn-ea"/>
                      <a:cs typeface="+mn-cs"/>
                    </a:defRPr>
                  </a:pPr>
                  <a:t>[PERCENTAGE]</a:t>
                </a:fld>
                <a:endParaRPr lang="en-US" sz="16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58"/>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9737280798E-2"/>
              <c:y val="0.206625784678107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9"/>
        <c:spPr>
          <a:solidFill>
            <a:schemeClr val="accent2"/>
          </a:solidFill>
          <a:ln>
            <a:noFill/>
          </a:ln>
          <a:effectLst>
            <a:outerShdw blurRad="317500" algn="ctr" rotWithShape="0">
              <a:prstClr val="black">
                <a:alpha val="25000"/>
              </a:prstClr>
            </a:outerShdw>
          </a:effectLst>
        </c:spPr>
        <c:dLbl>
          <c:idx val="0"/>
          <c:layout>
            <c:manualLayout>
              <c:x val="-0.17691406923637495"/>
              <c:y val="0.1442678644372086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1"/>
        <c:spPr>
          <a:solidFill>
            <a:schemeClr val="accent2"/>
          </a:solidFill>
          <a:ln>
            <a:noFill/>
          </a:ln>
          <a:effectLst>
            <a:outerShdw blurRad="317500" algn="ctr" rotWithShape="0">
              <a:prstClr val="black">
                <a:alpha val="25000"/>
              </a:prstClr>
            </a:outerShdw>
          </a:effectLst>
        </c:spPr>
      </c:pivotFmt>
      <c:pivotFmt>
        <c:idx val="62"/>
        <c:spPr>
          <a:solidFill>
            <a:schemeClr val="accent2"/>
          </a:solidFill>
          <a:ln>
            <a:noFill/>
          </a:ln>
          <a:effectLst>
            <a:outerShdw blurRad="317500" algn="ctr" rotWithShape="0">
              <a:prstClr val="black">
                <a:alpha val="25000"/>
              </a:prstClr>
            </a:outerShdw>
          </a:effectLst>
        </c:spPr>
      </c:pivotFmt>
      <c:pivotFmt>
        <c:idx val="63"/>
        <c:spPr>
          <a:solidFill>
            <a:schemeClr val="accent2"/>
          </a:solidFill>
          <a:ln>
            <a:noFill/>
          </a:ln>
          <a:effectLst>
            <a:outerShdw blurRad="317500" algn="ctr" rotWithShape="0">
              <a:prstClr val="black">
                <a:alpha val="25000"/>
              </a:prstClr>
            </a:outerShdw>
          </a:effectLst>
        </c:spPr>
      </c:pivotFmt>
      <c:pivotFmt>
        <c:idx val="64"/>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5"/>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1600">
                    <a:solidFill>
                      <a:schemeClr val="bg1"/>
                    </a:solidFill>
                  </a:rPr>
                  <a:pPr>
                    <a:defRPr sz="900" b="1" i="0" u="none" strike="noStrike" kern="1200" baseline="0">
                      <a:solidFill>
                        <a:schemeClr val="lt1"/>
                      </a:solidFill>
                      <a:latin typeface="+mn-lt"/>
                      <a:ea typeface="+mn-ea"/>
                      <a:cs typeface="+mn-cs"/>
                    </a:defRPr>
                  </a:pPr>
                  <a:t>[CATEGORY NAME]</a:t>
                </a:fld>
                <a:r>
                  <a:rPr lang="en-US" sz="1600" baseline="0">
                    <a:solidFill>
                      <a:schemeClr val="bg1"/>
                    </a:solidFill>
                  </a:rPr>
                  <a:t>
</a:t>
                </a:r>
                <a:fld id="{FCC59BD3-4859-4709-8B5E-1B9C9F2F28AB}" type="PERCENTAGE">
                  <a:rPr lang="en-US" sz="1600" baseline="0">
                    <a:solidFill>
                      <a:schemeClr val="bg1"/>
                    </a:solidFill>
                  </a:rPr>
                  <a:pPr>
                    <a:defRPr sz="900" b="1" i="0" u="none" strike="noStrike" kern="1200" baseline="0">
                      <a:solidFill>
                        <a:schemeClr val="lt1"/>
                      </a:solidFill>
                      <a:latin typeface="+mn-lt"/>
                      <a:ea typeface="+mn-ea"/>
                      <a:cs typeface="+mn-cs"/>
                    </a:defRPr>
                  </a:pPr>
                  <a:t>[PERCENTAGE]</a:t>
                </a:fld>
                <a:endParaRPr lang="en-US" sz="16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66"/>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9737280798E-2"/>
              <c:y val="0.206625784678107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7"/>
        <c:spPr>
          <a:solidFill>
            <a:schemeClr val="accent2"/>
          </a:solidFill>
          <a:ln>
            <a:noFill/>
          </a:ln>
          <a:effectLst>
            <a:outerShdw blurRad="317500" algn="ctr" rotWithShape="0">
              <a:prstClr val="black">
                <a:alpha val="25000"/>
              </a:prstClr>
            </a:outerShdw>
          </a:effectLst>
        </c:spPr>
        <c:dLbl>
          <c:idx val="0"/>
          <c:layout>
            <c:manualLayout>
              <c:x val="-0.17691406923637495"/>
              <c:y val="0.1442678644372086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9"/>
        <c:spPr>
          <a:solidFill>
            <a:schemeClr val="accent2"/>
          </a:solidFill>
          <a:ln>
            <a:noFill/>
          </a:ln>
          <a:effectLst>
            <a:outerShdw blurRad="317500" algn="ctr" rotWithShape="0">
              <a:prstClr val="black">
                <a:alpha val="25000"/>
              </a:prstClr>
            </a:outerShdw>
          </a:effectLst>
        </c:spPr>
      </c:pivotFmt>
      <c:pivotFmt>
        <c:idx val="70"/>
        <c:spPr>
          <a:solidFill>
            <a:schemeClr val="accent2"/>
          </a:solidFill>
          <a:ln>
            <a:noFill/>
          </a:ln>
          <a:effectLst>
            <a:outerShdw blurRad="317500" algn="ctr" rotWithShape="0">
              <a:prstClr val="black">
                <a:alpha val="25000"/>
              </a:prstClr>
            </a:outerShdw>
          </a:effectLst>
        </c:spPr>
      </c:pivotFmt>
      <c:pivotFmt>
        <c:idx val="71"/>
        <c:spPr>
          <a:solidFill>
            <a:schemeClr val="accent2"/>
          </a:solidFill>
          <a:ln>
            <a:noFill/>
          </a:ln>
          <a:effectLst>
            <a:outerShdw blurRad="317500" algn="ctr" rotWithShape="0">
              <a:prstClr val="black">
                <a:alpha val="25000"/>
              </a:prstClr>
            </a:outerShdw>
          </a:effectLst>
        </c:spPr>
      </c:pivotFmt>
      <c:pivotFmt>
        <c:idx val="72"/>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3"/>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1600">
                    <a:solidFill>
                      <a:schemeClr val="bg1"/>
                    </a:solidFill>
                  </a:rPr>
                  <a:pPr>
                    <a:defRPr sz="900" b="1" i="0" u="none" strike="noStrike" kern="1200" baseline="0">
                      <a:solidFill>
                        <a:schemeClr val="lt1"/>
                      </a:solidFill>
                      <a:latin typeface="+mn-lt"/>
                      <a:ea typeface="+mn-ea"/>
                      <a:cs typeface="+mn-cs"/>
                    </a:defRPr>
                  </a:pPr>
                  <a:t>[CATEGORY NAME]</a:t>
                </a:fld>
                <a:r>
                  <a:rPr lang="en-US" sz="1600" baseline="0">
                    <a:solidFill>
                      <a:schemeClr val="bg1"/>
                    </a:solidFill>
                  </a:rPr>
                  <a:t>
</a:t>
                </a:r>
                <a:fld id="{FCC59BD3-4859-4709-8B5E-1B9C9F2F28AB}" type="PERCENTAGE">
                  <a:rPr lang="en-US" sz="1600" baseline="0">
                    <a:solidFill>
                      <a:schemeClr val="bg1"/>
                    </a:solidFill>
                  </a:rPr>
                  <a:pPr>
                    <a:defRPr sz="900" b="1" i="0" u="none" strike="noStrike" kern="1200" baseline="0">
                      <a:solidFill>
                        <a:schemeClr val="lt1"/>
                      </a:solidFill>
                      <a:latin typeface="+mn-lt"/>
                      <a:ea typeface="+mn-ea"/>
                      <a:cs typeface="+mn-cs"/>
                    </a:defRPr>
                  </a:pPr>
                  <a:t>[PERCENTAGE]</a:t>
                </a:fld>
                <a:endParaRPr lang="en-US" sz="16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74"/>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9737280798E-2"/>
              <c:y val="0.2066257846781075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5"/>
        <c:spPr>
          <a:solidFill>
            <a:schemeClr val="accent2"/>
          </a:solidFill>
          <a:ln>
            <a:noFill/>
          </a:ln>
          <a:effectLst>
            <a:outerShdw blurRad="317500" algn="ctr" rotWithShape="0">
              <a:prstClr val="black">
                <a:alpha val="25000"/>
              </a:prstClr>
            </a:outerShdw>
          </a:effectLst>
        </c:spPr>
        <c:dLbl>
          <c:idx val="0"/>
          <c:layout>
            <c:manualLayout>
              <c:x val="-0.17691406923637495"/>
              <c:y val="0.1442678644372086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6"/>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7"/>
        <c:spPr>
          <a:solidFill>
            <a:schemeClr val="accent2"/>
          </a:solidFill>
          <a:ln>
            <a:noFill/>
          </a:ln>
          <a:effectLst>
            <a:outerShdw blurRad="317500" algn="ctr" rotWithShape="0">
              <a:prstClr val="black">
                <a:alpha val="25000"/>
              </a:prstClr>
            </a:outerShdw>
          </a:effectLst>
        </c:spPr>
      </c:pivotFmt>
      <c:pivotFmt>
        <c:idx val="78"/>
        <c:spPr>
          <a:solidFill>
            <a:schemeClr val="accent2"/>
          </a:solidFill>
          <a:ln>
            <a:noFill/>
          </a:ln>
          <a:effectLst>
            <a:outerShdw blurRad="317500" algn="ctr" rotWithShape="0">
              <a:prstClr val="black">
                <a:alpha val="25000"/>
              </a:prstClr>
            </a:outerShdw>
          </a:effectLst>
        </c:spPr>
      </c:pivotFmt>
      <c:pivotFmt>
        <c:idx val="79"/>
        <c:spPr>
          <a:solidFill>
            <a:schemeClr val="accent2"/>
          </a:solidFill>
          <a:ln>
            <a:noFill/>
          </a:ln>
          <a:effectLst>
            <a:outerShdw blurRad="317500" algn="ctr" rotWithShape="0">
              <a:prstClr val="black">
                <a:alpha val="25000"/>
              </a:prstClr>
            </a:outerShdw>
          </a:effectLst>
        </c:spPr>
      </c:pivotFmt>
      <c:pivotFmt>
        <c:idx val="8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1"/>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900">
                    <a:solidFill>
                      <a:schemeClr val="bg1"/>
                    </a:solidFill>
                  </a:rPr>
                  <a:pPr>
                    <a:defRPr sz="900" b="1" i="0" u="none" strike="noStrike" kern="1200" baseline="0">
                      <a:solidFill>
                        <a:schemeClr val="lt1"/>
                      </a:solidFill>
                      <a:latin typeface="+mn-lt"/>
                      <a:ea typeface="+mn-ea"/>
                      <a:cs typeface="+mn-cs"/>
                    </a:defRPr>
                  </a:pPr>
                  <a:t>[CATEGORY NAME]</a:t>
                </a:fld>
                <a:r>
                  <a:rPr lang="en-US" sz="900" baseline="0">
                    <a:solidFill>
                      <a:schemeClr val="bg1"/>
                    </a:solidFill>
                  </a:rPr>
                  <a:t>
</a:t>
                </a:r>
                <a:fld id="{FCC59BD3-4859-4709-8B5E-1B9C9F2F28AB}" type="PERCENTAGE">
                  <a:rPr lang="en-US" sz="900" baseline="0">
                    <a:solidFill>
                      <a:schemeClr val="bg1"/>
                    </a:solidFill>
                  </a:rPr>
                  <a:pPr>
                    <a:defRPr sz="900" b="1" i="0" u="none" strike="noStrike" kern="1200" baseline="0">
                      <a:solidFill>
                        <a:schemeClr val="lt1"/>
                      </a:solidFill>
                      <a:latin typeface="+mn-lt"/>
                      <a:ea typeface="+mn-ea"/>
                      <a:cs typeface="+mn-cs"/>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82"/>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4399930778E-2"/>
              <c:y val="0.212563094332601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3"/>
        <c:spPr>
          <a:solidFill>
            <a:schemeClr val="accent2"/>
          </a:solidFill>
          <a:ln>
            <a:noFill/>
          </a:ln>
          <a:effectLst>
            <a:outerShdw blurRad="317500" algn="ctr" rotWithShape="0">
              <a:prstClr val="black">
                <a:alpha val="25000"/>
              </a:prstClr>
            </a:outerShdw>
          </a:effectLst>
        </c:spPr>
        <c:dLbl>
          <c:idx val="0"/>
          <c:layout>
            <c:manualLayout>
              <c:x val="-0.13295809177698942"/>
              <c:y val="9.0832931676966308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573ACD9-4B25-4D9B-BD70-1344B9977703}" type="CATEGORYNAME">
                  <a:rPr lang="en-US"/>
                  <a:pPr>
                    <a:defRPr sz="900" b="1" i="0" u="none" strike="noStrike" kern="1200" baseline="0">
                      <a:solidFill>
                        <a:sysClr val="windowText" lastClr="000000"/>
                      </a:solidFill>
                      <a:latin typeface="+mn-lt"/>
                      <a:ea typeface="+mn-ea"/>
                      <a:cs typeface="+mn-cs"/>
                    </a:defRPr>
                  </a:pPr>
                  <a:t>[CATEGORY NAME]</a:t>
                </a:fld>
                <a:r>
                  <a:rPr lang="en-US" baseline="0"/>
                  <a:t>
</a:t>
                </a:r>
                <a:fld id="{1D437C40-EA7C-484F-9792-357BE2E45A1A}" type="PERCENTAGE">
                  <a:rPr lang="en-US" sz="800" baseline="0"/>
                  <a:pPr>
                    <a:defRPr sz="900" b="1" i="0" u="none" strike="noStrike" kern="1200" baseline="0">
                      <a:solidFill>
                        <a:sysClr val="windowText" lastClr="000000"/>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4"/>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85"/>
        <c:spPr>
          <a:solidFill>
            <a:schemeClr val="accent2"/>
          </a:solidFill>
          <a:ln>
            <a:noFill/>
          </a:ln>
          <a:effectLst>
            <a:outerShdw blurRad="317500" algn="ctr" rotWithShape="0">
              <a:prstClr val="black">
                <a:alpha val="25000"/>
              </a:prstClr>
            </a:outerShdw>
          </a:effectLst>
        </c:spPr>
      </c:pivotFmt>
      <c:pivotFmt>
        <c:idx val="86"/>
        <c:spPr>
          <a:solidFill>
            <a:schemeClr val="accent2"/>
          </a:solidFill>
          <a:ln>
            <a:noFill/>
          </a:ln>
          <a:effectLst>
            <a:outerShdw blurRad="317500" algn="ctr" rotWithShape="0">
              <a:prstClr val="black">
                <a:alpha val="25000"/>
              </a:prstClr>
            </a:outerShdw>
          </a:effectLst>
        </c:spPr>
      </c:pivotFmt>
      <c:pivotFmt>
        <c:idx val="87"/>
        <c:spPr>
          <a:solidFill>
            <a:schemeClr val="accent2"/>
          </a:solidFill>
          <a:ln>
            <a:noFill/>
          </a:ln>
          <a:effectLst>
            <a:outerShdw blurRad="317500" algn="ctr" rotWithShape="0">
              <a:prstClr val="black">
                <a:alpha val="25000"/>
              </a:prstClr>
            </a:outerShdw>
          </a:effectLst>
        </c:spPr>
      </c:pivotFmt>
      <c:pivotFmt>
        <c:idx val="88"/>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89"/>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0"/>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900">
                    <a:solidFill>
                      <a:schemeClr val="bg1"/>
                    </a:solidFill>
                  </a:rPr>
                  <a:pPr>
                    <a:defRPr sz="900" b="1" i="0" u="none" strike="noStrike" kern="1200" baseline="0">
                      <a:solidFill>
                        <a:schemeClr val="lt1"/>
                      </a:solidFill>
                      <a:latin typeface="+mn-lt"/>
                      <a:ea typeface="+mn-ea"/>
                      <a:cs typeface="+mn-cs"/>
                    </a:defRPr>
                  </a:pPr>
                  <a:t>[CATEGORY NAME]</a:t>
                </a:fld>
                <a:r>
                  <a:rPr lang="en-US" sz="900" baseline="0">
                    <a:solidFill>
                      <a:schemeClr val="bg1"/>
                    </a:solidFill>
                  </a:rPr>
                  <a:t>
</a:t>
                </a:r>
                <a:fld id="{FCC59BD3-4859-4709-8B5E-1B9C9F2F28AB}" type="PERCENTAGE">
                  <a:rPr lang="en-US" sz="900" baseline="0">
                    <a:solidFill>
                      <a:schemeClr val="bg1"/>
                    </a:solidFill>
                  </a:rPr>
                  <a:pPr>
                    <a:defRPr sz="900" b="1" i="0" u="none" strike="noStrike" kern="1200" baseline="0">
                      <a:solidFill>
                        <a:schemeClr val="lt1"/>
                      </a:solidFill>
                      <a:latin typeface="+mn-lt"/>
                      <a:ea typeface="+mn-ea"/>
                      <a:cs typeface="+mn-cs"/>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91"/>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4399930778E-2"/>
              <c:y val="0.212563094332601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2"/>
        <c:spPr>
          <a:solidFill>
            <a:schemeClr val="accent2"/>
          </a:solidFill>
          <a:ln>
            <a:noFill/>
          </a:ln>
          <a:effectLst>
            <a:outerShdw blurRad="317500" algn="ctr" rotWithShape="0">
              <a:prstClr val="black">
                <a:alpha val="25000"/>
              </a:prstClr>
            </a:outerShdw>
          </a:effectLst>
        </c:spPr>
        <c:dLbl>
          <c:idx val="0"/>
          <c:layout>
            <c:manualLayout>
              <c:x val="-0.13295809177698942"/>
              <c:y val="9.0832931676966308E-2"/>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573ACD9-4B25-4D9B-BD70-1344B9977703}" type="CATEGORYNAME">
                  <a:rPr lang="en-US"/>
                  <a:pPr>
                    <a:defRPr sz="900" b="1" i="0" u="none" strike="noStrike" kern="1200" baseline="0">
                      <a:solidFill>
                        <a:sysClr val="windowText" lastClr="000000"/>
                      </a:solidFill>
                      <a:latin typeface="+mn-lt"/>
                      <a:ea typeface="+mn-ea"/>
                      <a:cs typeface="+mn-cs"/>
                    </a:defRPr>
                  </a:pPr>
                  <a:t>[CATEGORY NAME]</a:t>
                </a:fld>
                <a:r>
                  <a:rPr lang="en-US" baseline="0"/>
                  <a:t>
</a:t>
                </a:r>
                <a:fld id="{1D437C40-EA7C-484F-9792-357BE2E45A1A}" type="PERCENTAGE">
                  <a:rPr lang="en-US" sz="800" baseline="0"/>
                  <a:pPr>
                    <a:defRPr sz="900" b="1" i="0" u="none" strike="noStrike" kern="1200" baseline="0">
                      <a:solidFill>
                        <a:sysClr val="windowText" lastClr="000000"/>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93"/>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4"/>
        <c:spPr>
          <a:solidFill>
            <a:schemeClr val="accent2"/>
          </a:solidFill>
          <a:ln>
            <a:noFill/>
          </a:ln>
          <a:effectLst>
            <a:outerShdw blurRad="317500" algn="ctr" rotWithShape="0">
              <a:prstClr val="black">
                <a:alpha val="25000"/>
              </a:prstClr>
            </a:outerShdw>
          </a:effectLst>
        </c:spPr>
      </c:pivotFmt>
      <c:pivotFmt>
        <c:idx val="95"/>
        <c:spPr>
          <a:solidFill>
            <a:schemeClr val="accent2"/>
          </a:solidFill>
          <a:ln>
            <a:noFill/>
          </a:ln>
          <a:effectLst>
            <a:outerShdw blurRad="317500" algn="ctr" rotWithShape="0">
              <a:prstClr val="black">
                <a:alpha val="25000"/>
              </a:prstClr>
            </a:outerShdw>
          </a:effectLst>
        </c:spPr>
      </c:pivotFmt>
      <c:pivotFmt>
        <c:idx val="96"/>
        <c:spPr>
          <a:solidFill>
            <a:schemeClr val="accent2"/>
          </a:solidFill>
          <a:ln>
            <a:noFill/>
          </a:ln>
          <a:effectLst>
            <a:outerShdw blurRad="317500" algn="ctr" rotWithShape="0">
              <a:prstClr val="black">
                <a:alpha val="25000"/>
              </a:prstClr>
            </a:outerShdw>
          </a:effectLst>
        </c:spPr>
      </c:pivotFmt>
      <c:pivotFmt>
        <c:idx val="97"/>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8"/>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900">
                    <a:solidFill>
                      <a:schemeClr val="bg1"/>
                    </a:solidFill>
                  </a:rPr>
                  <a:pPr>
                    <a:defRPr sz="900" b="1" i="0" u="none" strike="noStrike" kern="1200" baseline="0">
                      <a:solidFill>
                        <a:schemeClr val="lt1"/>
                      </a:solidFill>
                      <a:latin typeface="+mn-lt"/>
                      <a:ea typeface="+mn-ea"/>
                      <a:cs typeface="+mn-cs"/>
                    </a:defRPr>
                  </a:pPr>
                  <a:t>[CATEGORY NAME]</a:t>
                </a:fld>
                <a:r>
                  <a:rPr lang="en-US" sz="900" baseline="0">
                    <a:solidFill>
                      <a:schemeClr val="bg1"/>
                    </a:solidFill>
                  </a:rPr>
                  <a:t>
</a:t>
                </a:r>
                <a:fld id="{FCC59BD3-4859-4709-8B5E-1B9C9F2F28AB}" type="PERCENTAGE">
                  <a:rPr lang="en-US" sz="900" baseline="0">
                    <a:solidFill>
                      <a:schemeClr val="bg1"/>
                    </a:solidFill>
                  </a:rPr>
                  <a:pPr>
                    <a:defRPr sz="900" b="1" i="0" u="none" strike="noStrike" kern="1200" baseline="0">
                      <a:solidFill>
                        <a:schemeClr val="lt1"/>
                      </a:solidFill>
                      <a:latin typeface="+mn-lt"/>
                      <a:ea typeface="+mn-ea"/>
                      <a:cs typeface="+mn-cs"/>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99"/>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4399930778E-2"/>
              <c:y val="0.212563094332601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0"/>
        <c:spPr>
          <a:solidFill>
            <a:schemeClr val="accent2"/>
          </a:solidFill>
          <a:ln>
            <a:noFill/>
          </a:ln>
          <a:effectLst>
            <a:outerShdw blurRad="317500" algn="ctr" rotWithShape="0">
              <a:prstClr val="black">
                <a:alpha val="25000"/>
              </a:prstClr>
            </a:outerShdw>
          </a:effectLst>
        </c:spPr>
        <c:dLbl>
          <c:idx val="0"/>
          <c:layout>
            <c:manualLayout>
              <c:x val="-0.162197817378091"/>
              <c:y val="0.11534275127373779"/>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573ACD9-4B25-4D9B-BD70-1344B9977703}" type="CATEGORYNAME">
                  <a:rPr lang="en-US">
                    <a:solidFill>
                      <a:schemeClr val="bg1"/>
                    </a:solidFill>
                  </a:rPr>
                  <a:pPr>
                    <a:defRPr sz="900" b="1" i="0" u="none" strike="noStrike" kern="1200" baseline="0">
                      <a:solidFill>
                        <a:sysClr val="windowText" lastClr="000000"/>
                      </a:solidFill>
                      <a:latin typeface="+mn-lt"/>
                      <a:ea typeface="+mn-ea"/>
                      <a:cs typeface="+mn-cs"/>
                    </a:defRPr>
                  </a:pPr>
                  <a:t>[CATEGORY NAME]</a:t>
                </a:fld>
                <a:r>
                  <a:rPr lang="en-US" baseline="0"/>
                  <a:t>
</a:t>
                </a:r>
                <a:fld id="{1D437C40-EA7C-484F-9792-357BE2E45A1A}" type="PERCENTAGE">
                  <a:rPr lang="en-US" sz="800" baseline="0">
                    <a:solidFill>
                      <a:schemeClr val="bg1"/>
                    </a:solidFill>
                  </a:rPr>
                  <a:pPr>
                    <a:defRPr sz="900" b="1" i="0" u="none" strike="noStrike" kern="1200" baseline="0">
                      <a:solidFill>
                        <a:sysClr val="windowText" lastClr="000000"/>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1"/>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2"/>
          </a:solidFill>
          <a:ln>
            <a:noFill/>
          </a:ln>
          <a:effectLst>
            <a:outerShdw blurRad="317500" algn="ctr" rotWithShape="0">
              <a:prstClr val="black">
                <a:alpha val="25000"/>
              </a:prstClr>
            </a:outerShdw>
          </a:effectLst>
        </c:spPr>
      </c:pivotFmt>
      <c:pivotFmt>
        <c:idx val="103"/>
        <c:spPr>
          <a:solidFill>
            <a:schemeClr val="accent2"/>
          </a:solidFill>
          <a:ln>
            <a:noFill/>
          </a:ln>
          <a:effectLst>
            <a:outerShdw blurRad="317500" algn="ctr" rotWithShape="0">
              <a:prstClr val="black">
                <a:alpha val="25000"/>
              </a:prstClr>
            </a:outerShdw>
          </a:effectLst>
        </c:spPr>
      </c:pivotFmt>
      <c:pivotFmt>
        <c:idx val="104"/>
        <c:spPr>
          <a:solidFill>
            <a:schemeClr val="accent2"/>
          </a:solidFill>
          <a:ln>
            <a:noFill/>
          </a:ln>
          <a:effectLst>
            <a:outerShdw blurRad="317500" algn="ctr" rotWithShape="0">
              <a:prstClr val="black">
                <a:alpha val="25000"/>
              </a:prstClr>
            </a:outerShdw>
          </a:effectLst>
        </c:spPr>
      </c:pivotFmt>
      <c:pivotFmt>
        <c:idx val="105"/>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7"/>
        <c:spPr>
          <a:solidFill>
            <a:schemeClr val="accent6">
              <a:lumMod val="50000"/>
            </a:schemeClr>
          </a:solidFill>
          <a:ln>
            <a:noFill/>
          </a:ln>
          <a:effectLst>
            <a:outerShdw blurRad="317500" algn="ctr" rotWithShape="0">
              <a:prstClr val="black">
                <a:alpha val="25000"/>
              </a:prstClr>
            </a:outerShdw>
          </a:effectLst>
        </c:spPr>
        <c:dLbl>
          <c:idx val="0"/>
          <c:layout>
            <c:manualLayout>
              <c:x val="0.14552387290693891"/>
              <c:y val="-0.1721357197910815"/>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EFF62EE8-2D93-4B60-89BC-9166952D4152}" type="CATEGORYNAME">
                  <a:rPr lang="en-US" sz="900">
                    <a:solidFill>
                      <a:schemeClr val="bg1"/>
                    </a:solidFill>
                  </a:rPr>
                  <a:pPr>
                    <a:defRPr sz="900" b="1" i="0" u="none" strike="noStrike" kern="1200" baseline="0">
                      <a:solidFill>
                        <a:schemeClr val="lt1"/>
                      </a:solidFill>
                      <a:latin typeface="+mn-lt"/>
                      <a:ea typeface="+mn-ea"/>
                      <a:cs typeface="+mn-cs"/>
                    </a:defRPr>
                  </a:pPr>
                  <a:t>[CATEGORY NAME]</a:t>
                </a:fld>
                <a:r>
                  <a:rPr lang="en-US" sz="900" baseline="0">
                    <a:solidFill>
                      <a:schemeClr val="bg1"/>
                    </a:solidFill>
                  </a:rPr>
                  <a:t>
</a:t>
                </a:r>
                <a:fld id="{FCC59BD3-4859-4709-8B5E-1B9C9F2F28AB}" type="PERCENTAGE">
                  <a:rPr lang="en-US" sz="900" baseline="0">
                    <a:solidFill>
                      <a:schemeClr val="bg1"/>
                    </a:solidFill>
                  </a:rPr>
                  <a:pPr>
                    <a:defRPr sz="900" b="1" i="0" u="none" strike="noStrike" kern="1200" baseline="0">
                      <a:solidFill>
                        <a:schemeClr val="lt1"/>
                      </a:solidFill>
                      <a:latin typeface="+mn-lt"/>
                      <a:ea typeface="+mn-ea"/>
                      <a:cs typeface="+mn-cs"/>
                    </a:defRPr>
                  </a:pPr>
                  <a:t>[PERCENTAGE]</a:t>
                </a:fld>
                <a:endParaRPr lang="en-US" sz="900"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Lst>
        </c:dLbl>
      </c:pivotFmt>
      <c:pivotFmt>
        <c:idx val="108"/>
        <c:spPr>
          <a:solidFill>
            <a:schemeClr val="accent3">
              <a:lumMod val="40000"/>
              <a:lumOff val="60000"/>
            </a:schemeClr>
          </a:solidFill>
          <a:ln>
            <a:noFill/>
          </a:ln>
          <a:effectLst>
            <a:outerShdw blurRad="317500" algn="ctr" rotWithShape="0">
              <a:prstClr val="black">
                <a:alpha val="25000"/>
              </a:prstClr>
            </a:outerShdw>
          </a:effectLst>
        </c:spPr>
        <c:dLbl>
          <c:idx val="0"/>
          <c:layout>
            <c:manualLayout>
              <c:x val="2.6210954399930778E-2"/>
              <c:y val="0.212563094332601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9"/>
        <c:spPr>
          <a:solidFill>
            <a:schemeClr val="accent2"/>
          </a:solidFill>
          <a:ln>
            <a:noFill/>
          </a:ln>
          <a:effectLst>
            <a:outerShdw blurRad="317500" algn="ctr" rotWithShape="0">
              <a:prstClr val="black">
                <a:alpha val="25000"/>
              </a:prstClr>
            </a:outerShdw>
          </a:effectLst>
        </c:spPr>
        <c:dLbl>
          <c:idx val="0"/>
          <c:layout>
            <c:manualLayout>
              <c:x val="-0.162197817378091"/>
              <c:y val="0.11534275127373779"/>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573ACD9-4B25-4D9B-BD70-1344B9977703}" type="CATEGORYNAME">
                  <a:rPr lang="en-US">
                    <a:solidFill>
                      <a:schemeClr val="bg1"/>
                    </a:solidFill>
                  </a:rPr>
                  <a:pPr>
                    <a:defRPr sz="900" b="1" i="0" u="none" strike="noStrike" kern="1200" baseline="0">
                      <a:solidFill>
                        <a:sysClr val="windowText" lastClr="000000"/>
                      </a:solidFill>
                      <a:latin typeface="+mn-lt"/>
                      <a:ea typeface="+mn-ea"/>
                      <a:cs typeface="+mn-cs"/>
                    </a:defRPr>
                  </a:pPr>
                  <a:t>[CATEGORY NAME]</a:t>
                </a:fld>
                <a:r>
                  <a:rPr lang="en-US" baseline="0"/>
                  <a:t>
</a:t>
                </a:r>
                <a:fld id="{1D437C40-EA7C-484F-9792-357BE2E45A1A}" type="PERCENTAGE">
                  <a:rPr lang="en-US" sz="800" baseline="0">
                    <a:solidFill>
                      <a:schemeClr val="bg1"/>
                    </a:solidFill>
                  </a:rPr>
                  <a:pPr>
                    <a:defRPr sz="900" b="1" i="0" u="none" strike="noStrike" kern="1200" baseline="0">
                      <a:solidFill>
                        <a:sysClr val="windowText" lastClr="000000"/>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0"/>
        <c:spPr>
          <a:solidFill>
            <a:schemeClr val="accent2"/>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1"/>
        <c:spPr>
          <a:solidFill>
            <a:schemeClr val="accent2"/>
          </a:solidFill>
          <a:ln>
            <a:noFill/>
          </a:ln>
          <a:effectLst>
            <a:outerShdw blurRad="317500" algn="ctr" rotWithShape="0">
              <a:prstClr val="black">
                <a:alpha val="25000"/>
              </a:prstClr>
            </a:outerShdw>
          </a:effectLst>
        </c:spPr>
      </c:pivotFmt>
      <c:pivotFmt>
        <c:idx val="112"/>
        <c:spPr>
          <a:solidFill>
            <a:schemeClr val="accent2"/>
          </a:solidFill>
          <a:ln>
            <a:noFill/>
          </a:ln>
          <a:effectLst>
            <a:outerShdw blurRad="317500" algn="ctr" rotWithShape="0">
              <a:prstClr val="black">
                <a:alpha val="25000"/>
              </a:prstClr>
            </a:outerShdw>
          </a:effectLst>
        </c:spPr>
      </c:pivotFmt>
      <c:pivotFmt>
        <c:idx val="113"/>
        <c:spPr>
          <a:solidFill>
            <a:schemeClr val="accent2"/>
          </a:solidFill>
          <a:ln>
            <a:noFill/>
          </a:ln>
          <a:effectLst>
            <a:outerShdw blurRad="317500" algn="ctr" rotWithShape="0">
              <a:prstClr val="black">
                <a:alpha val="25000"/>
              </a:prstClr>
            </a:outerShdw>
          </a:effectLst>
        </c:spPr>
      </c:pivotFmt>
    </c:pivotFmts>
    <c:plotArea>
      <c:layout/>
      <c:pieChart>
        <c:varyColors val="1"/>
        <c:ser>
          <c:idx val="0"/>
          <c:order val="0"/>
          <c:tx>
            <c:v>Female</c:v>
          </c:tx>
          <c:spPr>
            <a:solidFill>
              <a:schemeClr val="accent6"/>
            </a:solidFill>
          </c:spPr>
          <c:dPt>
            <c:idx val="0"/>
            <c:bubble3D val="0"/>
            <c:spPr>
              <a:solidFill>
                <a:schemeClr val="accent6">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293-4F81-9775-5AB89BF46ABF}"/>
              </c:ext>
            </c:extLst>
          </c:dPt>
          <c:dPt>
            <c:idx val="1"/>
            <c:bubble3D val="0"/>
            <c:spPr>
              <a:solidFill>
                <a:schemeClr val="accent3">
                  <a:lumMod val="40000"/>
                  <a:lumOff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293-4F81-9775-5AB89BF46ABF}"/>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293-4F81-9775-5AB89BF46ABF}"/>
              </c:ext>
            </c:extLst>
          </c:dPt>
          <c:dLbls>
            <c:dLbl>
              <c:idx val="0"/>
              <c:layout>
                <c:manualLayout>
                  <c:x val="0.14552387290693891"/>
                  <c:y val="-0.1721357197910815"/>
                </c:manualLayout>
              </c:layout>
              <c:tx>
                <c:rich>
                  <a:bodyPr/>
                  <a:lstStyle/>
                  <a:p>
                    <a:fld id="{EFF62EE8-2D93-4B60-89BC-9166952D4152}" type="CATEGORYNAME">
                      <a:rPr lang="en-US" sz="900">
                        <a:solidFill>
                          <a:schemeClr val="bg1"/>
                        </a:solidFill>
                      </a:rPr>
                      <a:pPr/>
                      <a:t>[CATEGORY NAME]</a:t>
                    </a:fld>
                    <a:r>
                      <a:rPr lang="en-US" sz="900" baseline="0">
                        <a:solidFill>
                          <a:schemeClr val="bg1"/>
                        </a:solidFill>
                      </a:rPr>
                      <a:t>
</a:t>
                    </a:r>
                    <a:fld id="{FCC59BD3-4859-4709-8B5E-1B9C9F2F28AB}" type="PERCENTAGE">
                      <a:rPr lang="en-US" sz="900" baseline="0">
                        <a:solidFill>
                          <a:schemeClr val="bg1"/>
                        </a:solidFill>
                      </a:rPr>
                      <a:pPr/>
                      <a:t>[PERCENTAGE]</a:t>
                    </a:fld>
                    <a:endParaRPr lang="en-US" sz="900" baseline="0">
                      <a:solidFill>
                        <a:schemeClr val="bg1"/>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3859903248164519"/>
                      <c:h val="0.2307504037938371"/>
                    </c:manualLayout>
                  </c15:layout>
                  <c15:dlblFieldTable/>
                  <c15:showDataLabelsRange val="0"/>
                </c:ext>
                <c:ext xmlns:c16="http://schemas.microsoft.com/office/drawing/2014/chart" uri="{C3380CC4-5D6E-409C-BE32-E72D297353CC}">
                  <c16:uniqueId val="{00000001-9293-4F81-9775-5AB89BF46ABF}"/>
                </c:ext>
              </c:extLst>
            </c:dLbl>
            <c:dLbl>
              <c:idx val="1"/>
              <c:layout>
                <c:manualLayout>
                  <c:x val="2.6210954399930778E-2"/>
                  <c:y val="0.212563094332601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6">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93-4F81-9775-5AB89BF46ABF}"/>
                </c:ext>
              </c:extLst>
            </c:dLbl>
            <c:dLbl>
              <c:idx val="2"/>
              <c:layout>
                <c:manualLayout>
                  <c:x val="-0.162197817378091"/>
                  <c:y val="0.11534275127373779"/>
                </c:manualLayout>
              </c:layout>
              <c:tx>
                <c:rich>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fld id="{0573ACD9-4B25-4D9B-BD70-1344B9977703}" type="CATEGORYNAME">
                      <a:rPr lang="en-US">
                        <a:solidFill>
                          <a:schemeClr val="bg1"/>
                        </a:solidFill>
                      </a:rPr>
                      <a:pPr>
                        <a:defRPr>
                          <a:solidFill>
                            <a:sysClr val="windowText" lastClr="000000"/>
                          </a:solidFill>
                        </a:defRPr>
                      </a:pPr>
                      <a:t>[CATEGORY NAME]</a:t>
                    </a:fld>
                    <a:r>
                      <a:rPr lang="en-US" baseline="0"/>
                      <a:t>
</a:t>
                    </a:r>
                    <a:fld id="{1D437C40-EA7C-484F-9792-357BE2E45A1A}" type="PERCENTAGE">
                      <a:rPr lang="en-US" sz="800" baseline="0">
                        <a:solidFill>
                          <a:schemeClr val="bg1"/>
                        </a:solidFill>
                      </a:rPr>
                      <a:pPr>
                        <a:defRPr>
                          <a:solidFill>
                            <a:sysClr val="windowText" lastClr="000000"/>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293-4F81-9775-5AB89BF46AB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Capital Appreciation</c:v>
              </c:pt>
              <c:pt idx="1">
                <c:v>Growth</c:v>
              </c:pt>
              <c:pt idx="2">
                <c:v>Income</c:v>
              </c:pt>
            </c:strLit>
          </c:cat>
          <c:val>
            <c:numLit>
              <c:formatCode>General</c:formatCode>
              <c:ptCount val="3"/>
              <c:pt idx="0">
                <c:v>10</c:v>
              </c:pt>
              <c:pt idx="1">
                <c:v>3</c:v>
              </c:pt>
              <c:pt idx="2">
                <c:v>2</c:v>
              </c:pt>
            </c:numLit>
          </c:val>
          <c:extLst>
            <c:ext xmlns:c16="http://schemas.microsoft.com/office/drawing/2014/chart" uri="{C3380CC4-5D6E-409C-BE32-E72D297353CC}">
              <c16:uniqueId val="{00000006-9293-4F81-9775-5AB89BF46ABF}"/>
            </c:ext>
          </c:extLst>
        </c:ser>
        <c:ser>
          <c:idx val="1"/>
          <c:order val="1"/>
          <c:tx>
            <c:v>Male</c:v>
          </c:tx>
          <c:dPt>
            <c:idx val="0"/>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9293-4F81-9775-5AB89BF46ABF}"/>
              </c:ext>
            </c:extLst>
          </c:dPt>
          <c:dPt>
            <c:idx val="1"/>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A-9293-4F81-9775-5AB89BF46ABF}"/>
              </c:ext>
            </c:extLst>
          </c:dPt>
          <c:dPt>
            <c:idx val="2"/>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C-9293-4F81-9775-5AB89BF46AB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Lit>
              <c:ptCount val="3"/>
              <c:pt idx="0">
                <c:v>Capital Appreciation</c:v>
              </c:pt>
              <c:pt idx="1">
                <c:v>Growth</c:v>
              </c:pt>
              <c:pt idx="2">
                <c:v>Income</c:v>
              </c:pt>
            </c:strLit>
          </c:cat>
          <c:val>
            <c:numLit>
              <c:formatCode>General</c:formatCode>
              <c:ptCount val="3"/>
              <c:pt idx="0">
                <c:v>16</c:v>
              </c:pt>
              <c:pt idx="1">
                <c:v>8</c:v>
              </c:pt>
              <c:pt idx="2">
                <c:v>1</c:v>
              </c:pt>
            </c:numLit>
          </c:val>
          <c:extLst>
            <c:ext xmlns:c16="http://schemas.microsoft.com/office/drawing/2014/chart" uri="{C3380CC4-5D6E-409C-BE32-E72D297353CC}">
              <c16:uniqueId val="{0000000D-9293-4F81-9775-5AB89BF46ABF}"/>
            </c:ext>
          </c:extLst>
        </c:ser>
        <c:dLbls>
          <c:dLblPos val="inEnd"/>
          <c:showLegendKey val="0"/>
          <c:showVal val="0"/>
          <c:showCatName val="0"/>
          <c:showSerName val="0"/>
          <c:showPercent val="1"/>
          <c:showBubbleSize val="0"/>
          <c:showLeaderLines val="1"/>
        </c:dLbls>
        <c:firstSliceAng val="8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100" b="1">
                <a:solidFill>
                  <a:sysClr val="windowText" lastClr="000000"/>
                </a:solidFill>
              </a:rPr>
              <a:t>Age vs Duration &amp; Expected Returns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Duration</c:v>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[1]Scatter!$A$21:$A$34</c:f>
              <c:numCache>
                <c:formatCode>General</c:formatCode>
                <c:ptCount val="14"/>
                <c:pt idx="0">
                  <c:v>21</c:v>
                </c:pt>
                <c:pt idx="1">
                  <c:v>22</c:v>
                </c:pt>
                <c:pt idx="2">
                  <c:v>23</c:v>
                </c:pt>
                <c:pt idx="3">
                  <c:v>24</c:v>
                </c:pt>
                <c:pt idx="4">
                  <c:v>25</c:v>
                </c:pt>
                <c:pt idx="5">
                  <c:v>26</c:v>
                </c:pt>
                <c:pt idx="6">
                  <c:v>27</c:v>
                </c:pt>
                <c:pt idx="7">
                  <c:v>28</c:v>
                </c:pt>
                <c:pt idx="8">
                  <c:v>29</c:v>
                </c:pt>
                <c:pt idx="9">
                  <c:v>30</c:v>
                </c:pt>
                <c:pt idx="10">
                  <c:v>31</c:v>
                </c:pt>
                <c:pt idx="11">
                  <c:v>32</c:v>
                </c:pt>
                <c:pt idx="12">
                  <c:v>34</c:v>
                </c:pt>
                <c:pt idx="13">
                  <c:v>35</c:v>
                </c:pt>
              </c:numCache>
            </c:numRef>
          </c:xVal>
          <c:yVal>
            <c:numRef>
              <c:f>[1]Scatter!$B$21:$B$34</c:f>
              <c:numCache>
                <c:formatCode>General</c:formatCode>
                <c:ptCount val="14"/>
                <c:pt idx="0">
                  <c:v>3</c:v>
                </c:pt>
                <c:pt idx="1">
                  <c:v>0.5</c:v>
                </c:pt>
                <c:pt idx="2">
                  <c:v>6</c:v>
                </c:pt>
                <c:pt idx="3" formatCode="0.0">
                  <c:v>2.1666666666666665</c:v>
                </c:pt>
                <c:pt idx="4" formatCode="0.0">
                  <c:v>3.3333333333333335</c:v>
                </c:pt>
                <c:pt idx="5">
                  <c:v>3.5</c:v>
                </c:pt>
                <c:pt idx="6" formatCode="0.0">
                  <c:v>2.8571428571428572</c:v>
                </c:pt>
                <c:pt idx="7">
                  <c:v>2</c:v>
                </c:pt>
                <c:pt idx="8">
                  <c:v>2.8</c:v>
                </c:pt>
                <c:pt idx="9" formatCode="0.0">
                  <c:v>3.3333333333333335</c:v>
                </c:pt>
                <c:pt idx="10">
                  <c:v>3</c:v>
                </c:pt>
                <c:pt idx="11">
                  <c:v>4</c:v>
                </c:pt>
                <c:pt idx="12">
                  <c:v>3</c:v>
                </c:pt>
                <c:pt idx="13">
                  <c:v>3</c:v>
                </c:pt>
              </c:numCache>
            </c:numRef>
          </c:yVal>
          <c:smooth val="0"/>
          <c:extLst>
            <c:ext xmlns:c16="http://schemas.microsoft.com/office/drawing/2014/chart" uri="{C3380CC4-5D6E-409C-BE32-E72D297353CC}">
              <c16:uniqueId val="{00000000-AEDB-4730-A161-6BC07632E164}"/>
            </c:ext>
          </c:extLst>
        </c:ser>
        <c:ser>
          <c:idx val="1"/>
          <c:order val="1"/>
          <c:tx>
            <c:v>Expect</c:v>
          </c:tx>
          <c:spPr>
            <a:ln w="19050"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[1]Scatter!$A$21:$A$34</c:f>
              <c:numCache>
                <c:formatCode>General</c:formatCode>
                <c:ptCount val="14"/>
                <c:pt idx="0">
                  <c:v>21</c:v>
                </c:pt>
                <c:pt idx="1">
                  <c:v>22</c:v>
                </c:pt>
                <c:pt idx="2">
                  <c:v>23</c:v>
                </c:pt>
                <c:pt idx="3">
                  <c:v>24</c:v>
                </c:pt>
                <c:pt idx="4">
                  <c:v>25</c:v>
                </c:pt>
                <c:pt idx="5">
                  <c:v>26</c:v>
                </c:pt>
                <c:pt idx="6">
                  <c:v>27</c:v>
                </c:pt>
                <c:pt idx="7">
                  <c:v>28</c:v>
                </c:pt>
                <c:pt idx="8">
                  <c:v>29</c:v>
                </c:pt>
                <c:pt idx="9">
                  <c:v>30</c:v>
                </c:pt>
                <c:pt idx="10">
                  <c:v>31</c:v>
                </c:pt>
                <c:pt idx="11">
                  <c:v>32</c:v>
                </c:pt>
                <c:pt idx="12">
                  <c:v>34</c:v>
                </c:pt>
                <c:pt idx="13">
                  <c:v>35</c:v>
                </c:pt>
              </c:numCache>
            </c:numRef>
          </c:xVal>
          <c:yVal>
            <c:numRef>
              <c:f>[1]Scatter!$C$21:$C$34</c:f>
              <c:numCache>
                <c:formatCode>General</c:formatCode>
                <c:ptCount val="14"/>
                <c:pt idx="0">
                  <c:v>25</c:v>
                </c:pt>
                <c:pt idx="1">
                  <c:v>15</c:v>
                </c:pt>
                <c:pt idx="2">
                  <c:v>25</c:v>
                </c:pt>
                <c:pt idx="3" formatCode="0.0">
                  <c:v>28.333333333333332</c:v>
                </c:pt>
                <c:pt idx="4" formatCode="0.0">
                  <c:v>28.333333333333332</c:v>
                </c:pt>
                <c:pt idx="5">
                  <c:v>27.5</c:v>
                </c:pt>
                <c:pt idx="6">
                  <c:v>25</c:v>
                </c:pt>
                <c:pt idx="7">
                  <c:v>25</c:v>
                </c:pt>
                <c:pt idx="8">
                  <c:v>25</c:v>
                </c:pt>
                <c:pt idx="9">
                  <c:v>25</c:v>
                </c:pt>
                <c:pt idx="10">
                  <c:v>27.5</c:v>
                </c:pt>
                <c:pt idx="11">
                  <c:v>25</c:v>
                </c:pt>
                <c:pt idx="12">
                  <c:v>20</c:v>
                </c:pt>
                <c:pt idx="13">
                  <c:v>25</c:v>
                </c:pt>
              </c:numCache>
            </c:numRef>
          </c:yVal>
          <c:smooth val="0"/>
          <c:extLst>
            <c:ext xmlns:c16="http://schemas.microsoft.com/office/drawing/2014/chart" uri="{C3380CC4-5D6E-409C-BE32-E72D297353CC}">
              <c16:uniqueId val="{00000001-AEDB-4730-A161-6BC07632E164}"/>
            </c:ext>
          </c:extLst>
        </c:ser>
        <c:dLbls>
          <c:showLegendKey val="0"/>
          <c:showVal val="0"/>
          <c:showCatName val="0"/>
          <c:showSerName val="0"/>
          <c:showPercent val="0"/>
          <c:showBubbleSize val="0"/>
        </c:dLbls>
        <c:axId val="621651368"/>
        <c:axId val="646863248"/>
      </c:scatterChart>
      <c:valAx>
        <c:axId val="621651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t>Age (Years)</a:t>
                </a:r>
              </a:p>
            </c:rich>
          </c:tx>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6863248"/>
        <c:crosses val="autoZero"/>
        <c:crossBetween val="midCat"/>
      </c:valAx>
      <c:valAx>
        <c:axId val="646863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r>
                  <a:rPr lang="en-IN" sz="800"/>
                  <a:t>Average Duration &amp; Expect</a:t>
                </a:r>
              </a:p>
            </c:rich>
          </c:tx>
          <c:layout>
            <c:manualLayout>
              <c:xMode val="edge"/>
              <c:yMode val="edge"/>
              <c:x val="1.9444444444444445E-2"/>
              <c:y val="0.26308871391076116"/>
            </c:manualLayout>
          </c:layout>
          <c:overlay val="0"/>
          <c:spPr>
            <a:noFill/>
            <a:ln>
              <a:noFill/>
            </a:ln>
            <a:effectLst/>
          </c:spPr>
          <c:txPr>
            <a:bodyPr rot="-54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6513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sz="1100" b="1" i="0" u="none" strike="noStrike" cap="none" normalizeH="0" baseline="0">
                <a:solidFill>
                  <a:sysClr val="windowText" lastClr="000000"/>
                </a:solidFill>
              </a:rPr>
              <a:t>Relationship between Investment Duration and Expected Returns</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IN"/>
        </a:p>
      </c:txPr>
    </c:title>
    <c:autoTitleDeleted val="0"/>
    <c:plotArea>
      <c:layout/>
      <c:bubbleChart>
        <c:varyColors val="0"/>
        <c:ser>
          <c:idx val="0"/>
          <c:order val="0"/>
          <c:spPr>
            <a:noFill/>
            <a:ln w="31750">
              <a:solidFill>
                <a:schemeClr val="accent5">
                  <a:alpha val="7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5"/>
                </a:solidFill>
                <a:prstDash val="sysDot"/>
              </a:ln>
              <a:effectLst/>
            </c:spPr>
            <c:trendlineType val="linear"/>
            <c:dispRSqr val="0"/>
            <c:dispEq val="0"/>
          </c:trendline>
          <c:xVal>
            <c:numRef>
              <c:f>[1]Bubble!$A$2:$A$41</c:f>
              <c:numCache>
                <c:formatCode>General</c:formatCode>
                <c:ptCount val="40"/>
                <c:pt idx="0">
                  <c:v>2</c:v>
                </c:pt>
                <c:pt idx="1">
                  <c:v>6</c:v>
                </c:pt>
                <c:pt idx="2">
                  <c:v>4</c:v>
                </c:pt>
                <c:pt idx="3">
                  <c:v>0.5</c:v>
                </c:pt>
                <c:pt idx="4">
                  <c:v>0.5</c:v>
                </c:pt>
                <c:pt idx="5">
                  <c:v>2</c:v>
                </c:pt>
                <c:pt idx="6">
                  <c:v>4</c:v>
                </c:pt>
                <c:pt idx="7">
                  <c:v>4</c:v>
                </c:pt>
                <c:pt idx="8">
                  <c:v>2</c:v>
                </c:pt>
                <c:pt idx="9">
                  <c:v>4</c:v>
                </c:pt>
                <c:pt idx="10">
                  <c:v>4</c:v>
                </c:pt>
                <c:pt idx="11">
                  <c:v>2</c:v>
                </c:pt>
                <c:pt idx="12">
                  <c:v>2</c:v>
                </c:pt>
                <c:pt idx="13">
                  <c:v>2</c:v>
                </c:pt>
                <c:pt idx="14">
                  <c:v>2</c:v>
                </c:pt>
                <c:pt idx="15">
                  <c:v>2</c:v>
                </c:pt>
                <c:pt idx="16">
                  <c:v>2</c:v>
                </c:pt>
                <c:pt idx="17">
                  <c:v>2</c:v>
                </c:pt>
                <c:pt idx="18">
                  <c:v>2</c:v>
                </c:pt>
                <c:pt idx="19">
                  <c:v>4</c:v>
                </c:pt>
                <c:pt idx="20">
                  <c:v>4</c:v>
                </c:pt>
                <c:pt idx="21">
                  <c:v>4</c:v>
                </c:pt>
                <c:pt idx="22">
                  <c:v>4</c:v>
                </c:pt>
                <c:pt idx="23">
                  <c:v>4</c:v>
                </c:pt>
                <c:pt idx="24">
                  <c:v>4</c:v>
                </c:pt>
                <c:pt idx="25">
                  <c:v>4</c:v>
                </c:pt>
                <c:pt idx="26">
                  <c:v>4</c:v>
                </c:pt>
                <c:pt idx="27">
                  <c:v>2</c:v>
                </c:pt>
                <c:pt idx="28">
                  <c:v>2</c:v>
                </c:pt>
                <c:pt idx="29">
                  <c:v>4</c:v>
                </c:pt>
                <c:pt idx="30">
                  <c:v>2</c:v>
                </c:pt>
                <c:pt idx="31">
                  <c:v>4</c:v>
                </c:pt>
                <c:pt idx="32">
                  <c:v>4</c:v>
                </c:pt>
                <c:pt idx="33">
                  <c:v>2</c:v>
                </c:pt>
                <c:pt idx="34">
                  <c:v>2</c:v>
                </c:pt>
                <c:pt idx="35">
                  <c:v>4</c:v>
                </c:pt>
                <c:pt idx="36">
                  <c:v>2</c:v>
                </c:pt>
                <c:pt idx="37">
                  <c:v>4</c:v>
                </c:pt>
                <c:pt idx="38">
                  <c:v>2</c:v>
                </c:pt>
                <c:pt idx="39">
                  <c:v>4</c:v>
                </c:pt>
              </c:numCache>
            </c:numRef>
          </c:xVal>
          <c:yVal>
            <c:numRef>
              <c:f>[1]Bubble!$B$2:$B$41</c:f>
              <c:numCache>
                <c:formatCode>General</c:formatCode>
                <c:ptCount val="40"/>
                <c:pt idx="0">
                  <c:v>25</c:v>
                </c:pt>
                <c:pt idx="1">
                  <c:v>25</c:v>
                </c:pt>
                <c:pt idx="2">
                  <c:v>25</c:v>
                </c:pt>
                <c:pt idx="3">
                  <c:v>15</c:v>
                </c:pt>
                <c:pt idx="4">
                  <c:v>25</c:v>
                </c:pt>
                <c:pt idx="5">
                  <c:v>35</c:v>
                </c:pt>
                <c:pt idx="6">
                  <c:v>25</c:v>
                </c:pt>
                <c:pt idx="7">
                  <c:v>25</c:v>
                </c:pt>
                <c:pt idx="8">
                  <c:v>25</c:v>
                </c:pt>
                <c:pt idx="9">
                  <c:v>35</c:v>
                </c:pt>
                <c:pt idx="10">
                  <c:v>25</c:v>
                </c:pt>
                <c:pt idx="11">
                  <c:v>25</c:v>
                </c:pt>
                <c:pt idx="12">
                  <c:v>25</c:v>
                </c:pt>
                <c:pt idx="13">
                  <c:v>25</c:v>
                </c:pt>
                <c:pt idx="14">
                  <c:v>25</c:v>
                </c:pt>
                <c:pt idx="15">
                  <c:v>25</c:v>
                </c:pt>
                <c:pt idx="16">
                  <c:v>25</c:v>
                </c:pt>
                <c:pt idx="17">
                  <c:v>25</c:v>
                </c:pt>
                <c:pt idx="18">
                  <c:v>25</c:v>
                </c:pt>
                <c:pt idx="19">
                  <c:v>25</c:v>
                </c:pt>
                <c:pt idx="20">
                  <c:v>25</c:v>
                </c:pt>
                <c:pt idx="21">
                  <c:v>25</c:v>
                </c:pt>
                <c:pt idx="22">
                  <c:v>25</c:v>
                </c:pt>
                <c:pt idx="23">
                  <c:v>25</c:v>
                </c:pt>
                <c:pt idx="24">
                  <c:v>35</c:v>
                </c:pt>
                <c:pt idx="25">
                  <c:v>25</c:v>
                </c:pt>
                <c:pt idx="26">
                  <c:v>25</c:v>
                </c:pt>
                <c:pt idx="27">
                  <c:v>25</c:v>
                </c:pt>
                <c:pt idx="28">
                  <c:v>25</c:v>
                </c:pt>
                <c:pt idx="29">
                  <c:v>15</c:v>
                </c:pt>
                <c:pt idx="30">
                  <c:v>15</c:v>
                </c:pt>
                <c:pt idx="31">
                  <c:v>25</c:v>
                </c:pt>
                <c:pt idx="32">
                  <c:v>35</c:v>
                </c:pt>
                <c:pt idx="33">
                  <c:v>25</c:v>
                </c:pt>
                <c:pt idx="34">
                  <c:v>25</c:v>
                </c:pt>
                <c:pt idx="35">
                  <c:v>25</c:v>
                </c:pt>
                <c:pt idx="36">
                  <c:v>25</c:v>
                </c:pt>
                <c:pt idx="37">
                  <c:v>35</c:v>
                </c:pt>
                <c:pt idx="38">
                  <c:v>25</c:v>
                </c:pt>
                <c:pt idx="39">
                  <c:v>25</c:v>
                </c:pt>
              </c:numCache>
            </c:numRef>
          </c:yVal>
          <c:bubbleSize>
            <c:numRef>
              <c:f>[1]Bubble!$C$2:$C$41</c:f>
              <c:numCache>
                <c:formatCode>General</c:formatCode>
                <c:ptCount val="40"/>
                <c:pt idx="0">
                  <c:v>34</c:v>
                </c:pt>
                <c:pt idx="1">
                  <c:v>23</c:v>
                </c:pt>
                <c:pt idx="2">
                  <c:v>30</c:v>
                </c:pt>
                <c:pt idx="3">
                  <c:v>22</c:v>
                </c:pt>
                <c:pt idx="4">
                  <c:v>24</c:v>
                </c:pt>
                <c:pt idx="5">
                  <c:v>24</c:v>
                </c:pt>
                <c:pt idx="6">
                  <c:v>27</c:v>
                </c:pt>
                <c:pt idx="7">
                  <c:v>21</c:v>
                </c:pt>
                <c:pt idx="8">
                  <c:v>35</c:v>
                </c:pt>
                <c:pt idx="9">
                  <c:v>31</c:v>
                </c:pt>
                <c:pt idx="10">
                  <c:v>35</c:v>
                </c:pt>
                <c:pt idx="11">
                  <c:v>29</c:v>
                </c:pt>
                <c:pt idx="12">
                  <c:v>21</c:v>
                </c:pt>
                <c:pt idx="13">
                  <c:v>28</c:v>
                </c:pt>
                <c:pt idx="14">
                  <c:v>25</c:v>
                </c:pt>
                <c:pt idx="15">
                  <c:v>27</c:v>
                </c:pt>
                <c:pt idx="16">
                  <c:v>28</c:v>
                </c:pt>
                <c:pt idx="17">
                  <c:v>27</c:v>
                </c:pt>
                <c:pt idx="18">
                  <c:v>29</c:v>
                </c:pt>
                <c:pt idx="19">
                  <c:v>26</c:v>
                </c:pt>
                <c:pt idx="20">
                  <c:v>29</c:v>
                </c:pt>
                <c:pt idx="21">
                  <c:v>24</c:v>
                </c:pt>
                <c:pt idx="22">
                  <c:v>27</c:v>
                </c:pt>
                <c:pt idx="23">
                  <c:v>25</c:v>
                </c:pt>
                <c:pt idx="24">
                  <c:v>26</c:v>
                </c:pt>
                <c:pt idx="25">
                  <c:v>32</c:v>
                </c:pt>
                <c:pt idx="26">
                  <c:v>26</c:v>
                </c:pt>
                <c:pt idx="27">
                  <c:v>31</c:v>
                </c:pt>
                <c:pt idx="28">
                  <c:v>29</c:v>
                </c:pt>
                <c:pt idx="29">
                  <c:v>34</c:v>
                </c:pt>
                <c:pt idx="30">
                  <c:v>27</c:v>
                </c:pt>
                <c:pt idx="31">
                  <c:v>31</c:v>
                </c:pt>
                <c:pt idx="32">
                  <c:v>27</c:v>
                </c:pt>
                <c:pt idx="33">
                  <c:v>26</c:v>
                </c:pt>
                <c:pt idx="34">
                  <c:v>27</c:v>
                </c:pt>
                <c:pt idx="35">
                  <c:v>30</c:v>
                </c:pt>
                <c:pt idx="36">
                  <c:v>30</c:v>
                </c:pt>
                <c:pt idx="37">
                  <c:v>25</c:v>
                </c:pt>
                <c:pt idx="38">
                  <c:v>31</c:v>
                </c:pt>
                <c:pt idx="39">
                  <c:v>29</c:v>
                </c:pt>
              </c:numCache>
            </c:numRef>
          </c:bubbleSize>
          <c:bubble3D val="0"/>
          <c:extLst>
            <c:ext xmlns:c16="http://schemas.microsoft.com/office/drawing/2014/chart" uri="{C3380CC4-5D6E-409C-BE32-E72D297353CC}">
              <c16:uniqueId val="{00000001-57A6-4FE9-A1F0-040588D21B05}"/>
            </c:ext>
          </c:extLst>
        </c:ser>
        <c:dLbls>
          <c:dLblPos val="ctr"/>
          <c:showLegendKey val="0"/>
          <c:showVal val="1"/>
          <c:showCatName val="0"/>
          <c:showSerName val="0"/>
          <c:showPercent val="0"/>
          <c:showBubbleSize val="0"/>
        </c:dLbls>
        <c:bubbleScale val="100"/>
        <c:showNegBubbles val="0"/>
        <c:axId val="448158000"/>
        <c:axId val="448159440"/>
      </c:bubbleChart>
      <c:valAx>
        <c:axId val="44815800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sz="900" b="0" i="0" u="none" strike="noStrike" baseline="0"/>
                  <a:t>Expected Returns (%)</a:t>
                </a:r>
                <a:endParaRPr lang="en-IN"/>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48159440"/>
        <c:crosses val="autoZero"/>
        <c:crossBetween val="midCat"/>
      </c:valAx>
      <c:valAx>
        <c:axId val="448159440"/>
        <c:scaling>
          <c:orientation val="minMax"/>
        </c:scaling>
        <c:delete val="0"/>
        <c:axPos val="l"/>
        <c:majorGridlines>
          <c:spPr>
            <a:ln w="9525">
              <a:solidFill>
                <a:schemeClr val="tx1">
                  <a:lumMod val="15000"/>
                  <a:lumOff val="85000"/>
                </a:schemeClr>
              </a:solidFill>
            </a:ln>
            <a:effectLst/>
          </c:spPr>
        </c:majorGridlines>
        <c:title>
          <c:tx>
            <c:rich>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r>
                  <a:rPr lang="en-IN"/>
                  <a:t>Expected Return</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4481580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r>
              <a:rPr lang="en-IN" sz="1100" b="1" i="0" u="none" strike="noStrike" baseline="0">
                <a:solidFill>
                  <a:sysClr val="windowText" lastClr="000000"/>
                </a:solidFill>
              </a:rPr>
              <a:t>Information source frequency </a:t>
            </a:r>
            <a:endParaRPr lang="en-IN"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ysClr val="windowText" lastClr="000000"/>
              </a:solidFill>
              <a:latin typeface="+mn-lt"/>
              <a:ea typeface="+mn-ea"/>
              <a:cs typeface="+mn-cs"/>
            </a:defRPr>
          </a:pPr>
          <a:endParaRPr lang="en-IN"/>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531264474293655"/>
          <c:y val="0.20209308132495746"/>
          <c:w val="0.45877010961865061"/>
          <c:h val="0.67194191577048779"/>
        </c:manualLayout>
      </c:layout>
      <c:barChart>
        <c:barDir val="bar"/>
        <c:grouping val="clustered"/>
        <c:varyColors val="0"/>
        <c:ser>
          <c:idx val="0"/>
          <c:order val="0"/>
          <c:tx>
            <c:v>Female</c:v>
          </c:tx>
          <c:spPr>
            <a:solidFill>
              <a:schemeClr val="accent3">
                <a:shade val="76000"/>
              </a:schemeClr>
            </a:solidFill>
            <a:ln>
              <a:noFill/>
            </a:ln>
            <a:effectLst/>
          </c:spPr>
          <c:invertIfNegative val="0"/>
          <c:cat>
            <c:strLit>
              <c:ptCount val="4"/>
              <c:pt idx="0">
                <c:v>Financial Consultants</c:v>
              </c:pt>
              <c:pt idx="1">
                <c:v>Internet</c:v>
              </c:pt>
              <c:pt idx="2">
                <c:v>Newspapers and Magazines</c:v>
              </c:pt>
              <c:pt idx="3">
                <c:v>Television</c:v>
              </c:pt>
            </c:strLit>
          </c:cat>
          <c:val>
            <c:numLit>
              <c:formatCode>General</c:formatCode>
              <c:ptCount val="4"/>
              <c:pt idx="0">
                <c:v>6</c:v>
              </c:pt>
              <c:pt idx="1">
                <c:v>3</c:v>
              </c:pt>
              <c:pt idx="2">
                <c:v>5</c:v>
              </c:pt>
              <c:pt idx="3">
                <c:v>1</c:v>
              </c:pt>
            </c:numLit>
          </c:val>
          <c:extLst>
            <c:ext xmlns:c16="http://schemas.microsoft.com/office/drawing/2014/chart" uri="{C3380CC4-5D6E-409C-BE32-E72D297353CC}">
              <c16:uniqueId val="{00000000-57E3-404D-830F-E9B440C9CA80}"/>
            </c:ext>
          </c:extLst>
        </c:ser>
        <c:ser>
          <c:idx val="1"/>
          <c:order val="1"/>
          <c:tx>
            <c:v>Male</c:v>
          </c:tx>
          <c:spPr>
            <a:solidFill>
              <a:srgbClr val="92D050"/>
            </a:solidFill>
            <a:ln>
              <a:noFill/>
            </a:ln>
            <a:effectLst/>
          </c:spPr>
          <c:invertIfNegative val="0"/>
          <c:cat>
            <c:strLit>
              <c:ptCount val="4"/>
              <c:pt idx="0">
                <c:v>Financial Consultants</c:v>
              </c:pt>
              <c:pt idx="1">
                <c:v>Internet</c:v>
              </c:pt>
              <c:pt idx="2">
                <c:v>Newspapers and Magazines</c:v>
              </c:pt>
              <c:pt idx="3">
                <c:v>Television</c:v>
              </c:pt>
            </c:strLit>
          </c:cat>
          <c:val>
            <c:numLit>
              <c:formatCode>General</c:formatCode>
              <c:ptCount val="4"/>
              <c:pt idx="0">
                <c:v>10</c:v>
              </c:pt>
              <c:pt idx="1">
                <c:v>1</c:v>
              </c:pt>
              <c:pt idx="2">
                <c:v>9</c:v>
              </c:pt>
              <c:pt idx="3">
                <c:v>5</c:v>
              </c:pt>
            </c:numLit>
          </c:val>
          <c:extLst>
            <c:ext xmlns:c16="http://schemas.microsoft.com/office/drawing/2014/chart" uri="{C3380CC4-5D6E-409C-BE32-E72D297353CC}">
              <c16:uniqueId val="{00000001-57E3-404D-830F-E9B440C9CA80}"/>
            </c:ext>
          </c:extLst>
        </c:ser>
        <c:dLbls>
          <c:showLegendKey val="0"/>
          <c:showVal val="0"/>
          <c:showCatName val="0"/>
          <c:showSerName val="0"/>
          <c:showPercent val="0"/>
          <c:showBubbleSize val="0"/>
        </c:dLbls>
        <c:gapWidth val="219"/>
        <c:axId val="749075344"/>
        <c:axId val="749066704"/>
      </c:barChart>
      <c:catAx>
        <c:axId val="74907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66704"/>
        <c:crosses val="autoZero"/>
        <c:auto val="1"/>
        <c:lblAlgn val="ctr"/>
        <c:lblOffset val="100"/>
        <c:noMultiLvlLbl val="0"/>
      </c:catAx>
      <c:valAx>
        <c:axId val="749066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075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sz="1100" b="1">
                <a:solidFill>
                  <a:sysClr val="windowText" lastClr="000000"/>
                </a:solidFill>
              </a:rPr>
              <a:t>Investment Duration Trend</a:t>
            </a:r>
            <a:endParaRPr lang="en-US" sz="1100" b="1" i="0" u="none" strike="noStrike" baseline="0">
              <a:solidFill>
                <a:sysClr val="windowText" lastClr="000000"/>
              </a:solidFill>
              <a:latin typeface="Aptos Narrow" panose="02110004020202020204"/>
            </a:endParaRPr>
          </a:p>
        </cx:rich>
      </cx:tx>
    </cx:title>
    <cx:plotArea>
      <cx:plotAreaRegion>
        <cx:plotSurface>
          <cx:spPr>
            <a:pattFill prst="pct5">
              <a:fgClr>
                <a:schemeClr val="tx1"/>
              </a:fgClr>
              <a:bgClr>
                <a:schemeClr val="bg1"/>
              </a:bgClr>
            </a:pattFill>
            <a:effectLst>
              <a:softEdge rad="444500"/>
            </a:effectLst>
          </cx:spPr>
        </cx:plotSurface>
        <cx:series layoutId="clusteredColumn" uniqueId="{945BB5C0-7D1A-4F0A-84EC-67BFEA62DFD3}" formatIdx="0">
          <cx:tx>
            <cx:txData>
              <cx:f>_xlchart.v1.1</cx:f>
              <cx:v>Count of Investment_Avenues</cx:v>
            </cx:txData>
          </cx:tx>
          <cx:dataPt idx="0">
            <cx:spPr>
              <a:solidFill>
                <a:srgbClr val="E97132">
                  <a:lumMod val="60000"/>
                  <a:lumOff val="40000"/>
                </a:srgbClr>
              </a:solidFill>
            </cx:spPr>
          </cx:dataPt>
          <cx:dataPt idx="1">
            <cx:spPr>
              <a:solidFill>
                <a:srgbClr val="4EA72E">
                  <a:lumMod val="40000"/>
                  <a:lumOff val="60000"/>
                </a:srgbClr>
              </a:solidFill>
            </cx:spPr>
          </cx:dataPt>
          <cx:dataPt idx="2">
            <cx:spPr>
              <a:solidFill>
                <a:srgbClr val="E97132">
                  <a:lumMod val="60000"/>
                  <a:lumOff val="40000"/>
                </a:srgbClr>
              </a:solidFill>
            </cx:spPr>
          </cx:dataPt>
          <cx:dataPt idx="3">
            <cx:spPr>
              <a:solidFill>
                <a:srgbClr val="4EA72E">
                  <a:lumMod val="40000"/>
                  <a:lumOff val="60000"/>
                </a:srgbClr>
              </a:solidFill>
            </cx:spPr>
          </cx:dataPt>
          <cx:dataLabels pos="inEnd">
            <cx:txPr>
              <a:bodyPr spcFirstLastPara="1" vertOverflow="ellipsis" horzOverflow="overflow" wrap="square" lIns="0" tIns="0" rIns="0" bIns="0" anchor="ctr" anchorCtr="1"/>
              <a:lstStyle/>
              <a:p>
                <a:pPr algn="ctr" rtl="0">
                  <a:defRPr sz="2000" b="1">
                    <a:solidFill>
                      <a:schemeClr val="tx1"/>
                    </a:solidFill>
                  </a:defRPr>
                </a:pPr>
                <a:endParaRPr lang="en-US" sz="2000" b="1" i="0" u="none" strike="noStrike" baseline="0">
                  <a:solidFill>
                    <a:schemeClr val="tx1"/>
                  </a:solidFill>
                  <a:latin typeface="Aptos Narrow" panose="02110004020202020204"/>
                </a:endParaRPr>
              </a:p>
            </cx:txPr>
            <cx:visibility seriesName="0" categoryName="0" value="1"/>
            <cx:dataLabel idx="2">
              <cx:txPr>
                <a:bodyPr spcFirstLastPara="1" vertOverflow="ellipsis" horzOverflow="overflow" wrap="square" lIns="0" tIns="0" rIns="0" bIns="0" anchor="ctr" anchorCtr="1"/>
                <a:lstStyle/>
                <a:p>
                  <a:pPr algn="ctr" rtl="0">
                    <a:defRPr>
                      <a:solidFill>
                        <a:schemeClr val="tx1"/>
                      </a:solidFill>
                    </a:defRPr>
                  </a:pPr>
                  <a:r>
                    <a:rPr lang="en-US" sz="2000" b="1" i="0" u="none" strike="noStrike" baseline="0">
                      <a:solidFill>
                        <a:schemeClr val="tx1"/>
                      </a:solidFill>
                      <a:latin typeface="Aptos Narrow" panose="02110004020202020204"/>
                    </a:rPr>
                    <a:t>2</a:t>
                  </a:r>
                </a:p>
              </cx:txPr>
            </cx:dataLabel>
            <cx:dataLabel idx="3">
              <cx:txPr>
                <a:bodyPr spcFirstLastPara="1" vertOverflow="ellipsis" horzOverflow="overflow" wrap="square" lIns="0" tIns="0" rIns="0" bIns="0" anchor="ctr" anchorCtr="1"/>
                <a:lstStyle/>
                <a:p>
                  <a:pPr algn="ctr" rtl="0">
                    <a:defRPr>
                      <a:solidFill>
                        <a:schemeClr val="tx1"/>
                      </a:solidFill>
                    </a:defRPr>
                  </a:pPr>
                  <a:r>
                    <a:rPr lang="en-US" sz="2000" b="1" i="0" u="none" strike="noStrike" baseline="0">
                      <a:solidFill>
                        <a:schemeClr val="tx1"/>
                      </a:solidFill>
                      <a:latin typeface="Aptos Narrow" panose="02110004020202020204"/>
                    </a:rPr>
                    <a:t>1</a:t>
                  </a:r>
                </a:p>
              </cx:txPr>
            </cx:dataLabel>
            <cx:dataLabelHidden idx="4"/>
          </cx:dataLabels>
          <cx:dataId val="0"/>
          <cx:layoutPr>
            <cx:aggregation/>
          </cx:layoutPr>
        </cx:series>
      </cx:plotAreaRegion>
      <cx:axis id="0">
        <cx:catScaling gapWidth="0"/>
        <cx:title>
          <cx:tx>
            <cx:rich>
              <a:bodyPr spcFirstLastPara="1" vertOverflow="ellipsis" horzOverflow="overflow" wrap="square" lIns="0" tIns="0" rIns="0" bIns="0" anchor="ctr" anchorCtr="1"/>
              <a:lstStyle/>
              <a:p>
                <a:pPr algn="ctr" rtl="0">
                  <a:defRPr/>
                </a:pPr>
                <a:r>
                  <a:rPr lang="en-IN"/>
                  <a:t>Average Investment Duration (in Years)</a:t>
                </a:r>
                <a:r>
                  <a:rPr lang="en-US" sz="900" b="0" i="0" u="none" strike="noStrike" baseline="0">
                    <a:solidFill>
                      <a:sysClr val="windowText" lastClr="000000">
                        <a:lumMod val="50000"/>
                        <a:lumOff val="50000"/>
                      </a:sysClr>
                    </a:solidFill>
                    <a:latin typeface="Aptos Narrow" panose="02110004020202020204"/>
                  </a:rPr>
                  <a:t> </a:t>
                </a:r>
              </a:p>
            </cx:rich>
          </cx:tx>
        </cx:title>
        <cx:tickLabels/>
        <cx:txPr>
          <a:bodyPr spcFirstLastPara="1" vertOverflow="ellipsis" horzOverflow="overflow" wrap="square" lIns="0" tIns="0" rIns="0" bIns="0" anchor="ctr" anchorCtr="1"/>
          <a:lstStyle/>
          <a:p>
            <a:pPr algn="ctr" rtl="0">
              <a:defRPr sz="1200"/>
            </a:pPr>
            <a:endParaRPr lang="en-US" sz="1200" b="0" i="0" u="none" strike="noStrike" baseline="0">
              <a:solidFill>
                <a:sysClr val="windowText" lastClr="000000">
                  <a:lumMod val="65000"/>
                  <a:lumOff val="35000"/>
                </a:sysClr>
              </a:solidFill>
              <a:latin typeface="Aptos Narrow" panose="02110004020202020204"/>
            </a:endParaRPr>
          </a:p>
        </cx:txPr>
      </cx:axis>
      <cx:axis id="1">
        <cx:valScaling/>
        <cx:title>
          <cx:tx>
            <cx:txData>
              <cx:v>Investment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50000"/>
                      <a:lumOff val="50000"/>
                    </a:sysClr>
                  </a:solidFill>
                  <a:latin typeface="Aptos Narrow" panose="02110004020202020204"/>
                </a:rPr>
                <a:t>Investment  </a:t>
              </a:r>
            </a:p>
          </cx:txPr>
        </cx:title>
        <cx:majorGridlines/>
        <cx:tickLabels/>
      </cx:axis>
    </cx:plotArea>
  </cx:chart>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9">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4">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spPr>
      <a:ln>
        <a:solidFill>
          <a:schemeClr val="tx1">
            <a:lumMod val="15000"/>
            <a:lumOff val="85000"/>
          </a:schemeClr>
        </a:solidFill>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dk1"/>
    </cs:fontRef>
    <cs:spPr>
      <a:noFill/>
      <a:ln w="31750">
        <a:solidFill>
          <a:schemeClr val="phClr">
            <a:alpha val="70000"/>
          </a:schemeClr>
        </a:solidFill>
      </a:ln>
    </cs:spPr>
  </cs:dataPoint>
  <cs:dataPoint3D>
    <cs:lnRef idx="0">
      <cs:styleClr val="auto"/>
    </cs:lnRef>
    <cs:fillRef idx="0">
      <cs:styleClr val="auto"/>
    </cs:fillRef>
    <cs:effectRef idx="0"/>
    <cs:fontRef idx="minor">
      <a:schemeClr val="dk1"/>
    </cs:fontRef>
    <cs:spPr>
      <a:noFill/>
      <a:ln w="31750">
        <a:solidFill>
          <a:schemeClr val="phClr">
            <a:alpha val="70000"/>
          </a:scheme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ln w="19050" cap="rnd">
        <a:solidFill>
          <a:schemeClr val="phClr"/>
        </a:solidFill>
        <a:round/>
      </a:ln>
    </cs:spPr>
  </cs:dataPointMarker>
  <cs:dataPointMarkerLayout symbol="circle" size="6"/>
  <cs:dataPointWireframe>
    <cs:lnRef idx="0">
      <cs:styleClr val="auto"/>
    </cs:lnRef>
    <cs:fillRef idx="1"/>
    <cs:effectRef idx="0"/>
    <cs:fontRef idx="minor">
      <a:schemeClr val="tx1"/>
    </cs:fontRef>
    <cs:spPr>
      <a:ln w="9525">
        <a:solidFill>
          <a:schemeClr val="phClr"/>
        </a:solidFill>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tx1">
            <a:lumMod val="50000"/>
            <a:lumOff val="50000"/>
          </a:schemeClr>
        </a:solidFill>
        <a:round/>
      </a:ln>
    </cs:spPr>
  </cs:downBar>
  <cs:dropLine>
    <cs:lnRef idx="0"/>
    <cs:fillRef idx="0"/>
    <cs:effectRef idx="0"/>
    <cs:fontRef idx="minor">
      <a:schemeClr val="dk1"/>
    </cs:fontRef>
    <cs:spPr>
      <a:ln w="9525" cap="flat" cmpd="sng" algn="ctr">
        <a:solidFill>
          <a:schemeClr val="tx1">
            <a:lumMod val="35000"/>
            <a:lumOff val="65000"/>
          </a:schemeClr>
        </a:solidFill>
        <a:round/>
      </a:ln>
    </cs:spPr>
  </cs:dropLine>
  <cs:errorBar>
    <cs:lnRef idx="0"/>
    <cs:fillRef idx="0"/>
    <cs:effectRef idx="0"/>
    <cs:fontRef idx="minor">
      <a:schemeClr val="dk1"/>
    </cs:fontRef>
    <cs:spPr>
      <a:ln w="9525" cap="flat" cmpd="sng" algn="ctr">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a:solidFill>
          <a:schemeClr val="tx1">
            <a:lumMod val="15000"/>
            <a:lumOff val="85000"/>
          </a:schemeClr>
        </a:solidFill>
      </a:ln>
    </cs:spPr>
  </cs:gridlineMajor>
  <cs:gridlineMinor>
    <cs:lnRef idx="0"/>
    <cs:fillRef idx="0"/>
    <cs:effectRef idx="0"/>
    <cs:fontRef idx="minor">
      <a:schemeClr val="dk1"/>
    </cs:fontRef>
    <cs:spPr>
      <a:ln w="9525">
        <a:solidFill>
          <a:schemeClr val="tx1">
            <a:lumMod val="5000"/>
            <a:lumOff val="95000"/>
          </a:schemeClr>
        </a:solidFill>
      </a:ln>
    </cs:spPr>
  </cs:gridlineMinor>
  <cs:hiLoLine>
    <cs:lnRef idx="0"/>
    <cs:fillRef idx="0"/>
    <cs:effectRef idx="0"/>
    <cs:fontRef idx="minor">
      <a:schemeClr val="dk1"/>
    </cs:fontRef>
    <cs:spPr>
      <a:ln w="9525" cap="flat" cmpd="sng" algn="ctr">
        <a:solidFill>
          <a:schemeClr val="tx1">
            <a:lumMod val="35000"/>
            <a:lumOff val="65000"/>
          </a:schemeClr>
        </a:solidFill>
        <a:round/>
      </a:ln>
    </cs:spPr>
  </cs:hiLoLine>
  <cs:leaderLine>
    <cs:lnRef idx="0"/>
    <cs:fillRef idx="0"/>
    <cs:effectRef idx="0"/>
    <cs:fontRef idx="minor">
      <a:schemeClr val="dk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a:solidFill>
          <a:schemeClr val="tx1">
            <a:lumMod val="15000"/>
            <a:lumOff val="85000"/>
          </a:schemeClr>
        </a:solidFill>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9050" cap="rnd">
        <a:solidFill>
          <a:schemeClr val="phClr"/>
        </a:solidFill>
        <a:prstDash val="sysDot"/>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cap="flat" cmpd="sng" algn="ctr">
        <a:solidFill>
          <a:schemeClr val="tx1">
            <a:lumMod val="50000"/>
            <a:lumOff val="50000"/>
          </a:schemeClr>
        </a:solidFill>
        <a:round/>
      </a:ln>
    </cs:spPr>
  </cs:upBar>
  <cs:valueAxis>
    <cs:lnRef idx="0"/>
    <cs:fillRef idx="0"/>
    <cs:effectRef idx="0"/>
    <cs:fontRef idx="minor">
      <a:schemeClr val="tx1">
        <a:lumMod val="50000"/>
        <a:lumOff val="50000"/>
      </a:schemeClr>
    </cs:fontRef>
    <cs:spPr>
      <a:ln>
        <a:solidFill>
          <a:schemeClr val="tx1">
            <a:lumMod val="25000"/>
            <a:lumOff val="75000"/>
          </a:schemeClr>
        </a:solid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12</xdr:col>
      <xdr:colOff>434341</xdr:colOff>
      <xdr:row>15</xdr:row>
      <xdr:rowOff>144780</xdr:rowOff>
    </xdr:from>
    <xdr:to>
      <xdr:col>18</xdr:col>
      <xdr:colOff>190501</xdr:colOff>
      <xdr:row>26</xdr:row>
      <xdr:rowOff>167640</xdr:rowOff>
    </xdr:to>
    <xdr:graphicFrame macro="">
      <xdr:nvGraphicFramePr>
        <xdr:cNvPr id="2" name="Chart 1">
          <a:extLst>
            <a:ext uri="{FF2B5EF4-FFF2-40B4-BE49-F238E27FC236}">
              <a16:creationId xmlns:a16="http://schemas.microsoft.com/office/drawing/2014/main" id="{BAB938B2-131D-4B76-A1E7-DD235FE5C5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xdr:col>
      <xdr:colOff>525780</xdr:colOff>
      <xdr:row>37</xdr:row>
      <xdr:rowOff>15240</xdr:rowOff>
    </xdr:to>
    <xdr:sp macro="" textlink="">
      <xdr:nvSpPr>
        <xdr:cNvPr id="3" name="Rectangle 2">
          <a:extLst>
            <a:ext uri="{FF2B5EF4-FFF2-40B4-BE49-F238E27FC236}">
              <a16:creationId xmlns:a16="http://schemas.microsoft.com/office/drawing/2014/main" id="{3CFC26CB-9808-4C07-975D-4668D1549A7B}"/>
            </a:ext>
          </a:extLst>
        </xdr:cNvPr>
        <xdr:cNvSpPr/>
      </xdr:nvSpPr>
      <xdr:spPr>
        <a:xfrm>
          <a:off x="0" y="0"/>
          <a:ext cx="1744980" cy="6781800"/>
        </a:xfrm>
        <a:prstGeom prst="rect">
          <a:avLst/>
        </a:prstGeom>
        <a:solidFill>
          <a:schemeClr val="bg1">
            <a:lumMod val="50000"/>
          </a:schemeClr>
        </a:solidFill>
        <a:effectLst>
          <a:softEdge rad="31750"/>
        </a:effectLst>
        <a:scene3d>
          <a:camera prst="perspectiveFront"/>
          <a:lightRig rig="threePt" dir="t"/>
        </a:scene3d>
      </xdr:spPr>
      <xdr:style>
        <a:lnRef idx="3">
          <a:schemeClr val="lt1"/>
        </a:lnRef>
        <a:fillRef idx="1001">
          <a:schemeClr val="dk2"/>
        </a:fillRef>
        <a:effectRef idx="1">
          <a:schemeClr val="accent2"/>
        </a:effectRef>
        <a:fontRef idx="minor">
          <a:schemeClr val="lt1"/>
        </a:fontRef>
      </xdr:style>
      <xdr:txBody>
        <a:bodyPr vertOverflow="clip" horzOverflow="clip" rtlCol="0" anchor="t"/>
        <a:lstStyle/>
        <a:p>
          <a:pPr algn="l"/>
          <a:r>
            <a:rPr lang="en-IN" sz="1100"/>
            <a:t> </a:t>
          </a:r>
        </a:p>
      </xdr:txBody>
    </xdr:sp>
    <xdr:clientData/>
  </xdr:twoCellAnchor>
  <xdr:twoCellAnchor>
    <xdr:from>
      <xdr:col>7</xdr:col>
      <xdr:colOff>266700</xdr:colOff>
      <xdr:row>0</xdr:row>
      <xdr:rowOff>129540</xdr:rowOff>
    </xdr:from>
    <xdr:to>
      <xdr:col>21</xdr:col>
      <xdr:colOff>167640</xdr:colOff>
      <xdr:row>4</xdr:row>
      <xdr:rowOff>7952</xdr:rowOff>
    </xdr:to>
    <xdr:sp macro="" textlink="">
      <xdr:nvSpPr>
        <xdr:cNvPr id="4" name="TextBox 3">
          <a:extLst>
            <a:ext uri="{FF2B5EF4-FFF2-40B4-BE49-F238E27FC236}">
              <a16:creationId xmlns:a16="http://schemas.microsoft.com/office/drawing/2014/main" id="{147922F3-15AE-4D24-B0B7-CCB992E57379}"/>
            </a:ext>
          </a:extLst>
        </xdr:cNvPr>
        <xdr:cNvSpPr txBox="1"/>
      </xdr:nvSpPr>
      <xdr:spPr>
        <a:xfrm>
          <a:off x="4533900" y="129540"/>
          <a:ext cx="8435340" cy="609932"/>
        </a:xfrm>
        <a:prstGeom prst="rect">
          <a:avLst/>
        </a:prstGeom>
        <a:noFill/>
        <a:ln>
          <a:noFill/>
        </a:ln>
        <a:scene3d>
          <a:camera prst="orthographicFront"/>
          <a:lightRig rig="threePt" dir="t"/>
        </a:scene3d>
        <a:sp3d>
          <a:bevelT prst="angle"/>
        </a:sp3d>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3600" b="1" i="0">
              <a:solidFill>
                <a:schemeClr val="accent2">
                  <a:lumMod val="75000"/>
                </a:schemeClr>
              </a:solidFill>
              <a:effectLst/>
            </a:rPr>
            <a:t>Investment Preferences &amp; Behavior Analysis</a:t>
          </a:r>
          <a:endParaRPr lang="en-IN" sz="3300" b="1" u="sng">
            <a:solidFill>
              <a:schemeClr val="accent2">
                <a:lumMod val="75000"/>
              </a:schemeClr>
            </a:solidFill>
          </a:endParaRPr>
        </a:p>
      </xdr:txBody>
    </xdr:sp>
    <xdr:clientData/>
  </xdr:twoCellAnchor>
  <xdr:twoCellAnchor>
    <xdr:from>
      <xdr:col>4</xdr:col>
      <xdr:colOff>601980</xdr:colOff>
      <xdr:row>7</xdr:row>
      <xdr:rowOff>167640</xdr:rowOff>
    </xdr:from>
    <xdr:to>
      <xdr:col>21</xdr:col>
      <xdr:colOff>259080</xdr:colOff>
      <xdr:row>11</xdr:row>
      <xdr:rowOff>46052</xdr:rowOff>
    </xdr:to>
    <xdr:sp macro="" textlink="">
      <xdr:nvSpPr>
        <xdr:cNvPr id="5" name="TextBox 4">
          <a:extLst>
            <a:ext uri="{FF2B5EF4-FFF2-40B4-BE49-F238E27FC236}">
              <a16:creationId xmlns:a16="http://schemas.microsoft.com/office/drawing/2014/main" id="{3F4D90FC-DE8C-4DDC-A13B-A282AE107569}"/>
            </a:ext>
          </a:extLst>
        </xdr:cNvPr>
        <xdr:cNvSpPr txBox="1"/>
      </xdr:nvSpPr>
      <xdr:spPr>
        <a:xfrm>
          <a:off x="3040380" y="1447800"/>
          <a:ext cx="10020300" cy="60993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endParaRPr lang="en-IN" sz="3300" b="1" u="sng">
            <a:solidFill>
              <a:schemeClr val="accent2">
                <a:lumMod val="50000"/>
              </a:schemeClr>
            </a:solidFill>
          </a:endParaRPr>
        </a:p>
      </xdr:txBody>
    </xdr:sp>
    <xdr:clientData/>
  </xdr:twoCellAnchor>
  <xdr:twoCellAnchor>
    <xdr:from>
      <xdr:col>0</xdr:col>
      <xdr:colOff>53340</xdr:colOff>
      <xdr:row>13</xdr:row>
      <xdr:rowOff>7620</xdr:rowOff>
    </xdr:from>
    <xdr:to>
      <xdr:col>2</xdr:col>
      <xdr:colOff>510540</xdr:colOff>
      <xdr:row>16</xdr:row>
      <xdr:rowOff>178980</xdr:rowOff>
    </xdr:to>
    <xdr:grpSp>
      <xdr:nvGrpSpPr>
        <xdr:cNvPr id="6" name="Group 5">
          <a:extLst>
            <a:ext uri="{FF2B5EF4-FFF2-40B4-BE49-F238E27FC236}">
              <a16:creationId xmlns:a16="http://schemas.microsoft.com/office/drawing/2014/main" id="{090261F5-93F4-44D4-ACFE-29398B7B7687}"/>
            </a:ext>
          </a:extLst>
        </xdr:cNvPr>
        <xdr:cNvGrpSpPr/>
      </xdr:nvGrpSpPr>
      <xdr:grpSpPr>
        <a:xfrm>
          <a:off x="53340" y="2385060"/>
          <a:ext cx="1676400" cy="720000"/>
          <a:chOff x="685800" y="891540"/>
          <a:chExt cx="1996440" cy="937260"/>
        </a:xfrm>
      </xdr:grpSpPr>
      <xdr:sp macro="" textlink="">
        <xdr:nvSpPr>
          <xdr:cNvPr id="7" name="Rectangle: Rounded Corners 6">
            <a:extLst>
              <a:ext uri="{FF2B5EF4-FFF2-40B4-BE49-F238E27FC236}">
                <a16:creationId xmlns:a16="http://schemas.microsoft.com/office/drawing/2014/main" id="{97085118-0CD0-92A9-FA5D-1B1D47BC6872}"/>
              </a:ext>
            </a:extLst>
          </xdr:cNvPr>
          <xdr:cNvSpPr/>
        </xdr:nvSpPr>
        <xdr:spPr>
          <a:xfrm>
            <a:off x="685800" y="891540"/>
            <a:ext cx="198120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8" name="TextBox 7">
            <a:extLst>
              <a:ext uri="{FF2B5EF4-FFF2-40B4-BE49-F238E27FC236}">
                <a16:creationId xmlns:a16="http://schemas.microsoft.com/office/drawing/2014/main" id="{7F0D90FB-C232-554C-6B45-2FEA36AAF529}"/>
              </a:ext>
            </a:extLst>
          </xdr:cNvPr>
          <xdr:cNvSpPr txBox="1"/>
        </xdr:nvSpPr>
        <xdr:spPr>
          <a:xfrm>
            <a:off x="693420" y="975360"/>
            <a:ext cx="1988820" cy="3581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400" b="1"/>
              <a:t>Total Participants</a:t>
            </a:r>
          </a:p>
        </xdr:txBody>
      </xdr:sp>
      <xdr:sp macro="" textlink="#REF!">
        <xdr:nvSpPr>
          <xdr:cNvPr id="9" name="TextBox 8">
            <a:extLst>
              <a:ext uri="{FF2B5EF4-FFF2-40B4-BE49-F238E27FC236}">
                <a16:creationId xmlns:a16="http://schemas.microsoft.com/office/drawing/2014/main" id="{2C984B74-9BD5-BB17-2CC1-DF377A2F70E4}"/>
              </a:ext>
            </a:extLst>
          </xdr:cNvPr>
          <xdr:cNvSpPr txBox="1"/>
        </xdr:nvSpPr>
        <xdr:spPr>
          <a:xfrm>
            <a:off x="708660" y="1242060"/>
            <a:ext cx="1943100" cy="5867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fld id="{925CFA29-120A-44C7-AD04-92FF8D6A1093}" type="TxLink">
              <a:rPr lang="en-US" sz="1800" b="1" i="0" u="none" strike="noStrike">
                <a:solidFill>
                  <a:schemeClr val="accent2">
                    <a:lumMod val="75000"/>
                  </a:schemeClr>
                </a:solidFill>
                <a:latin typeface="Aptos Narrow"/>
              </a:rPr>
              <a:pPr algn="ctr"/>
              <a:t>40</a:t>
            </a:fld>
            <a:endParaRPr lang="en-IN" sz="1800" b="1">
              <a:solidFill>
                <a:schemeClr val="accent2">
                  <a:lumMod val="75000"/>
                </a:schemeClr>
              </a:solidFill>
            </a:endParaRPr>
          </a:p>
        </xdr:txBody>
      </xdr:sp>
    </xdr:grpSp>
    <xdr:clientData/>
  </xdr:twoCellAnchor>
  <xdr:twoCellAnchor>
    <xdr:from>
      <xdr:col>0</xdr:col>
      <xdr:colOff>53340</xdr:colOff>
      <xdr:row>17</xdr:row>
      <xdr:rowOff>53340</xdr:rowOff>
    </xdr:from>
    <xdr:to>
      <xdr:col>2</xdr:col>
      <xdr:colOff>510540</xdr:colOff>
      <xdr:row>21</xdr:row>
      <xdr:rowOff>41820</xdr:rowOff>
    </xdr:to>
    <xdr:grpSp>
      <xdr:nvGrpSpPr>
        <xdr:cNvPr id="10" name="Group 9">
          <a:extLst>
            <a:ext uri="{FF2B5EF4-FFF2-40B4-BE49-F238E27FC236}">
              <a16:creationId xmlns:a16="http://schemas.microsoft.com/office/drawing/2014/main" id="{A1CABA2A-5DDD-492A-9E4F-9898F4F1972C}"/>
            </a:ext>
          </a:extLst>
        </xdr:cNvPr>
        <xdr:cNvGrpSpPr/>
      </xdr:nvGrpSpPr>
      <xdr:grpSpPr>
        <a:xfrm>
          <a:off x="53340" y="3162300"/>
          <a:ext cx="1676400" cy="720000"/>
          <a:chOff x="685800" y="891540"/>
          <a:chExt cx="1996440" cy="937260"/>
        </a:xfrm>
      </xdr:grpSpPr>
      <xdr:sp macro="" textlink="">
        <xdr:nvSpPr>
          <xdr:cNvPr id="11" name="Rectangle: Rounded Corners 10">
            <a:extLst>
              <a:ext uri="{FF2B5EF4-FFF2-40B4-BE49-F238E27FC236}">
                <a16:creationId xmlns:a16="http://schemas.microsoft.com/office/drawing/2014/main" id="{CB139823-E886-60FD-468B-CA6E052BCB63}"/>
              </a:ext>
            </a:extLst>
          </xdr:cNvPr>
          <xdr:cNvSpPr/>
        </xdr:nvSpPr>
        <xdr:spPr>
          <a:xfrm>
            <a:off x="685800" y="891540"/>
            <a:ext cx="198120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2" name="TextBox 11">
            <a:extLst>
              <a:ext uri="{FF2B5EF4-FFF2-40B4-BE49-F238E27FC236}">
                <a16:creationId xmlns:a16="http://schemas.microsoft.com/office/drawing/2014/main" id="{228F18F3-3FAE-4313-CDD0-243C42D36D84}"/>
              </a:ext>
            </a:extLst>
          </xdr:cNvPr>
          <xdr:cNvSpPr txBox="1"/>
        </xdr:nvSpPr>
        <xdr:spPr>
          <a:xfrm>
            <a:off x="693420" y="975360"/>
            <a:ext cx="1988820" cy="3581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400" b="1"/>
              <a:t>Total Male</a:t>
            </a:r>
          </a:p>
        </xdr:txBody>
      </xdr:sp>
      <xdr:sp macro="" textlink="#REF!">
        <xdr:nvSpPr>
          <xdr:cNvPr id="13" name="TextBox 12">
            <a:extLst>
              <a:ext uri="{FF2B5EF4-FFF2-40B4-BE49-F238E27FC236}">
                <a16:creationId xmlns:a16="http://schemas.microsoft.com/office/drawing/2014/main" id="{151D4109-A29F-1003-0D79-F30D71710462}"/>
              </a:ext>
            </a:extLst>
          </xdr:cNvPr>
          <xdr:cNvSpPr txBox="1"/>
        </xdr:nvSpPr>
        <xdr:spPr>
          <a:xfrm>
            <a:off x="708660" y="1242060"/>
            <a:ext cx="1943100" cy="5867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fld id="{D7B174AB-257E-44F4-A9C8-1123BE70F2C4}" type="TxLink">
              <a:rPr lang="en-US" sz="2000" b="1" i="0" u="none" strike="noStrike">
                <a:solidFill>
                  <a:schemeClr val="accent2">
                    <a:lumMod val="75000"/>
                  </a:schemeClr>
                </a:solidFill>
                <a:latin typeface="Aptos Narrow"/>
              </a:rPr>
              <a:pPr algn="ctr"/>
              <a:t>25</a:t>
            </a:fld>
            <a:endParaRPr lang="en-IN" sz="2000" b="1">
              <a:solidFill>
                <a:schemeClr val="accent2">
                  <a:lumMod val="75000"/>
                </a:schemeClr>
              </a:solidFill>
            </a:endParaRPr>
          </a:p>
        </xdr:txBody>
      </xdr:sp>
    </xdr:grpSp>
    <xdr:clientData/>
  </xdr:twoCellAnchor>
  <xdr:twoCellAnchor>
    <xdr:from>
      <xdr:col>0</xdr:col>
      <xdr:colOff>53340</xdr:colOff>
      <xdr:row>21</xdr:row>
      <xdr:rowOff>129540</xdr:rowOff>
    </xdr:from>
    <xdr:to>
      <xdr:col>2</xdr:col>
      <xdr:colOff>510540</xdr:colOff>
      <xdr:row>25</xdr:row>
      <xdr:rowOff>118020</xdr:rowOff>
    </xdr:to>
    <xdr:grpSp>
      <xdr:nvGrpSpPr>
        <xdr:cNvPr id="14" name="Group 13">
          <a:extLst>
            <a:ext uri="{FF2B5EF4-FFF2-40B4-BE49-F238E27FC236}">
              <a16:creationId xmlns:a16="http://schemas.microsoft.com/office/drawing/2014/main" id="{6729730F-E1AB-4FC4-9CA7-34FEBC50EC97}"/>
            </a:ext>
          </a:extLst>
        </xdr:cNvPr>
        <xdr:cNvGrpSpPr/>
      </xdr:nvGrpSpPr>
      <xdr:grpSpPr>
        <a:xfrm>
          <a:off x="53340" y="3970020"/>
          <a:ext cx="1676400" cy="720000"/>
          <a:chOff x="685800" y="891540"/>
          <a:chExt cx="1996440" cy="937260"/>
        </a:xfrm>
      </xdr:grpSpPr>
      <xdr:sp macro="" textlink="">
        <xdr:nvSpPr>
          <xdr:cNvPr id="15" name="Rectangle: Rounded Corners 14">
            <a:extLst>
              <a:ext uri="{FF2B5EF4-FFF2-40B4-BE49-F238E27FC236}">
                <a16:creationId xmlns:a16="http://schemas.microsoft.com/office/drawing/2014/main" id="{19D34CB4-4A79-4700-126E-8B91BE3FD376}"/>
              </a:ext>
            </a:extLst>
          </xdr:cNvPr>
          <xdr:cNvSpPr/>
        </xdr:nvSpPr>
        <xdr:spPr>
          <a:xfrm>
            <a:off x="685800" y="891540"/>
            <a:ext cx="1981200" cy="9372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16" name="TextBox 15">
            <a:extLst>
              <a:ext uri="{FF2B5EF4-FFF2-40B4-BE49-F238E27FC236}">
                <a16:creationId xmlns:a16="http://schemas.microsoft.com/office/drawing/2014/main" id="{328455F8-3AD6-09DD-FE75-1AD5C653BBA9}"/>
              </a:ext>
            </a:extLst>
          </xdr:cNvPr>
          <xdr:cNvSpPr txBox="1"/>
        </xdr:nvSpPr>
        <xdr:spPr>
          <a:xfrm>
            <a:off x="693420" y="975361"/>
            <a:ext cx="1988820" cy="35813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400" b="1"/>
              <a:t>Total Female</a:t>
            </a:r>
          </a:p>
        </xdr:txBody>
      </xdr:sp>
      <xdr:sp macro="" textlink="#REF!">
        <xdr:nvSpPr>
          <xdr:cNvPr id="17" name="TextBox 16">
            <a:extLst>
              <a:ext uri="{FF2B5EF4-FFF2-40B4-BE49-F238E27FC236}">
                <a16:creationId xmlns:a16="http://schemas.microsoft.com/office/drawing/2014/main" id="{15146906-1626-A732-4ECA-9517B3C01F29}"/>
              </a:ext>
            </a:extLst>
          </xdr:cNvPr>
          <xdr:cNvSpPr txBox="1"/>
        </xdr:nvSpPr>
        <xdr:spPr>
          <a:xfrm>
            <a:off x="708660" y="1242060"/>
            <a:ext cx="1943100" cy="5867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fld id="{7331D5A2-ECEE-4C29-86A4-54B5D00DE122}" type="TxLink">
              <a:rPr lang="en-US" sz="2000" b="1" i="0" u="none" strike="noStrike">
                <a:solidFill>
                  <a:schemeClr val="accent2">
                    <a:lumMod val="75000"/>
                  </a:schemeClr>
                </a:solidFill>
                <a:latin typeface="Aptos Narrow"/>
              </a:rPr>
              <a:pPr algn="ctr"/>
              <a:t>15</a:t>
            </a:fld>
            <a:endParaRPr lang="en-IN" sz="2000" b="1">
              <a:solidFill>
                <a:schemeClr val="accent2">
                  <a:lumMod val="75000"/>
                </a:schemeClr>
              </a:solidFill>
            </a:endParaRPr>
          </a:p>
        </xdr:txBody>
      </xdr:sp>
    </xdr:grpSp>
    <xdr:clientData/>
  </xdr:twoCellAnchor>
  <xdr:twoCellAnchor>
    <xdr:from>
      <xdr:col>0</xdr:col>
      <xdr:colOff>38100</xdr:colOff>
      <xdr:row>26</xdr:row>
      <xdr:rowOff>7620</xdr:rowOff>
    </xdr:from>
    <xdr:to>
      <xdr:col>2</xdr:col>
      <xdr:colOff>495300</xdr:colOff>
      <xdr:row>29</xdr:row>
      <xdr:rowOff>178980</xdr:rowOff>
    </xdr:to>
    <xdr:grpSp>
      <xdr:nvGrpSpPr>
        <xdr:cNvPr id="18" name="Group 17">
          <a:extLst>
            <a:ext uri="{FF2B5EF4-FFF2-40B4-BE49-F238E27FC236}">
              <a16:creationId xmlns:a16="http://schemas.microsoft.com/office/drawing/2014/main" id="{F0A5C301-747F-4381-89C9-9D93C3BE3F74}"/>
            </a:ext>
          </a:extLst>
        </xdr:cNvPr>
        <xdr:cNvGrpSpPr/>
      </xdr:nvGrpSpPr>
      <xdr:grpSpPr>
        <a:xfrm>
          <a:off x="38100" y="4762500"/>
          <a:ext cx="1676400" cy="720000"/>
          <a:chOff x="11353800" y="967740"/>
          <a:chExt cx="1981200" cy="632460"/>
        </a:xfrm>
      </xdr:grpSpPr>
      <xdr:sp macro="" textlink="">
        <xdr:nvSpPr>
          <xdr:cNvPr id="19" name="Rectangle: Rounded Corners 18">
            <a:extLst>
              <a:ext uri="{FF2B5EF4-FFF2-40B4-BE49-F238E27FC236}">
                <a16:creationId xmlns:a16="http://schemas.microsoft.com/office/drawing/2014/main" id="{C951325C-32AB-F08A-A03A-E7183250ECF7}"/>
              </a:ext>
            </a:extLst>
          </xdr:cNvPr>
          <xdr:cNvSpPr/>
        </xdr:nvSpPr>
        <xdr:spPr>
          <a:xfrm>
            <a:off x="11353800" y="967740"/>
            <a:ext cx="1981200" cy="6096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a:p>
        </xdr:txBody>
      </xdr:sp>
      <xdr:sp macro="" textlink="">
        <xdr:nvSpPr>
          <xdr:cNvPr id="20" name="TextBox 19">
            <a:extLst>
              <a:ext uri="{FF2B5EF4-FFF2-40B4-BE49-F238E27FC236}">
                <a16:creationId xmlns:a16="http://schemas.microsoft.com/office/drawing/2014/main" id="{D893697C-065A-9266-0775-7593DD6DBD90}"/>
              </a:ext>
            </a:extLst>
          </xdr:cNvPr>
          <xdr:cNvSpPr txBox="1"/>
        </xdr:nvSpPr>
        <xdr:spPr>
          <a:xfrm>
            <a:off x="11361420" y="1051560"/>
            <a:ext cx="1630680" cy="35814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1400" b="1"/>
              <a:t>Total Investor</a:t>
            </a:r>
          </a:p>
        </xdr:txBody>
      </xdr:sp>
      <xdr:sp macro="" textlink="#REF!">
        <xdr:nvSpPr>
          <xdr:cNvPr id="21" name="TextBox 20">
            <a:extLst>
              <a:ext uri="{FF2B5EF4-FFF2-40B4-BE49-F238E27FC236}">
                <a16:creationId xmlns:a16="http://schemas.microsoft.com/office/drawing/2014/main" id="{C8D89A80-8382-8ADB-8FCB-A0B8F7BE4B24}"/>
              </a:ext>
            </a:extLst>
          </xdr:cNvPr>
          <xdr:cNvSpPr txBox="1"/>
        </xdr:nvSpPr>
        <xdr:spPr>
          <a:xfrm>
            <a:off x="11391900" y="1211580"/>
            <a:ext cx="1943100" cy="38862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fld id="{962310A2-D6DF-4D9C-85EF-21B0A98EF105}" type="TxLink">
              <a:rPr lang="en-US" sz="2000" b="1" i="0" u="none" strike="noStrike">
                <a:solidFill>
                  <a:schemeClr val="accent2">
                    <a:lumMod val="75000"/>
                  </a:schemeClr>
                </a:solidFill>
                <a:latin typeface="Aptos Narrow"/>
              </a:rPr>
              <a:pPr algn="ctr"/>
              <a:t>37</a:t>
            </a:fld>
            <a:endParaRPr lang="en-US" sz="2000" b="1" i="0" u="none" strike="noStrike">
              <a:solidFill>
                <a:schemeClr val="accent2">
                  <a:lumMod val="75000"/>
                </a:schemeClr>
              </a:solidFill>
              <a:latin typeface="Aptos Narrow"/>
            </a:endParaRPr>
          </a:p>
          <a:p>
            <a:pPr algn="ctr"/>
            <a:endParaRPr lang="en-IN" sz="2000" b="1">
              <a:solidFill>
                <a:schemeClr val="accent2">
                  <a:lumMod val="75000"/>
                </a:schemeClr>
              </a:solidFill>
            </a:endParaRPr>
          </a:p>
        </xdr:txBody>
      </xdr:sp>
    </xdr:grpSp>
    <xdr:clientData/>
  </xdr:twoCellAnchor>
  <xdr:twoCellAnchor>
    <xdr:from>
      <xdr:col>0</xdr:col>
      <xdr:colOff>0</xdr:colOff>
      <xdr:row>3</xdr:row>
      <xdr:rowOff>30480</xdr:rowOff>
    </xdr:from>
    <xdr:to>
      <xdr:col>2</xdr:col>
      <xdr:colOff>502243</xdr:colOff>
      <xdr:row>7</xdr:row>
      <xdr:rowOff>83820</xdr:rowOff>
    </xdr:to>
    <mc:AlternateContent xmlns:mc="http://schemas.openxmlformats.org/markup-compatibility/2006">
      <mc:Choice xmlns:a14="http://schemas.microsoft.com/office/drawing/2010/main" Requires="a14">
        <xdr:graphicFrame macro="">
          <xdr:nvGraphicFramePr>
            <xdr:cNvPr id="22" name="Gender 3">
              <a:extLst>
                <a:ext uri="{FF2B5EF4-FFF2-40B4-BE49-F238E27FC236}">
                  <a16:creationId xmlns:a16="http://schemas.microsoft.com/office/drawing/2014/main" id="{226E1135-26B0-4D1B-9616-8CE3AFF23289}"/>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0" y="579120"/>
              <a:ext cx="1721443" cy="784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xdr:colOff>
      <xdr:row>7</xdr:row>
      <xdr:rowOff>76200</xdr:rowOff>
    </xdr:from>
    <xdr:to>
      <xdr:col>2</xdr:col>
      <xdr:colOff>480060</xdr:colOff>
      <xdr:row>12</xdr:row>
      <xdr:rowOff>15240</xdr:rowOff>
    </xdr:to>
    <mc:AlternateContent xmlns:mc="http://schemas.openxmlformats.org/markup-compatibility/2006">
      <mc:Choice xmlns:a14="http://schemas.microsoft.com/office/drawing/2010/main" Requires="a14">
        <xdr:graphicFrame macro="">
          <xdr:nvGraphicFramePr>
            <xdr:cNvPr id="23" name="Investment_Avenues 2">
              <a:extLst>
                <a:ext uri="{FF2B5EF4-FFF2-40B4-BE49-F238E27FC236}">
                  <a16:creationId xmlns:a16="http://schemas.microsoft.com/office/drawing/2014/main" id="{D6F2E682-5904-4931-B129-1A6E1386DD0E}"/>
                </a:ext>
              </a:extLst>
            </xdr:cNvPr>
            <xdr:cNvGraphicFramePr/>
          </xdr:nvGraphicFramePr>
          <xdr:xfrm>
            <a:off x="0" y="0"/>
            <a:ext cx="0" cy="0"/>
          </xdr:xfrm>
          <a:graphic>
            <a:graphicData uri="http://schemas.microsoft.com/office/drawing/2010/slicer">
              <sle:slicer xmlns:sle="http://schemas.microsoft.com/office/drawing/2010/slicer" name="Investment_Avenues 2"/>
            </a:graphicData>
          </a:graphic>
        </xdr:graphicFrame>
      </mc:Choice>
      <mc:Fallback>
        <xdr:sp macro="" textlink="">
          <xdr:nvSpPr>
            <xdr:cNvPr id="0" name=""/>
            <xdr:cNvSpPr>
              <a:spLocks noTextEdit="1"/>
            </xdr:cNvSpPr>
          </xdr:nvSpPr>
          <xdr:spPr>
            <a:xfrm>
              <a:off x="15240" y="1356360"/>
              <a:ext cx="168402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15241</xdr:colOff>
      <xdr:row>2</xdr:row>
      <xdr:rowOff>1</xdr:rowOff>
    </xdr:from>
    <xdr:to>
      <xdr:col>7</xdr:col>
      <xdr:colOff>106680</xdr:colOff>
      <xdr:row>12</xdr:row>
      <xdr:rowOff>114300</xdr:rowOff>
    </xdr:to>
    <xdr:graphicFrame macro="">
      <xdr:nvGraphicFramePr>
        <xdr:cNvPr id="24" name="Chart 23">
          <a:extLst>
            <a:ext uri="{FF2B5EF4-FFF2-40B4-BE49-F238E27FC236}">
              <a16:creationId xmlns:a16="http://schemas.microsoft.com/office/drawing/2014/main" id="{8E0EF381-D715-4BA4-A03D-2568C4C7A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175260</xdr:colOff>
      <xdr:row>4</xdr:row>
      <xdr:rowOff>15243</xdr:rowOff>
    </xdr:from>
    <xdr:to>
      <xdr:col>16</xdr:col>
      <xdr:colOff>175260</xdr:colOff>
      <xdr:row>15</xdr:row>
      <xdr:rowOff>137161</xdr:rowOff>
    </xdr:to>
    <xdr:graphicFrame macro="">
      <xdr:nvGraphicFramePr>
        <xdr:cNvPr id="25" name="Chart 24">
          <a:extLst>
            <a:ext uri="{FF2B5EF4-FFF2-40B4-BE49-F238E27FC236}">
              <a16:creationId xmlns:a16="http://schemas.microsoft.com/office/drawing/2014/main" id="{5F61EDA0-C627-481F-839B-A5B90C22D8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259080</xdr:colOff>
      <xdr:row>4</xdr:row>
      <xdr:rowOff>22860</xdr:rowOff>
    </xdr:from>
    <xdr:to>
      <xdr:col>23</xdr:col>
      <xdr:colOff>167640</xdr:colOff>
      <xdr:row>15</xdr:row>
      <xdr:rowOff>83820</xdr:rowOff>
    </xdr:to>
    <xdr:graphicFrame macro="">
      <xdr:nvGraphicFramePr>
        <xdr:cNvPr id="26" name="Chart 25">
          <a:extLst>
            <a:ext uri="{FF2B5EF4-FFF2-40B4-BE49-F238E27FC236}">
              <a16:creationId xmlns:a16="http://schemas.microsoft.com/office/drawing/2014/main" id="{CCA7ADCD-5F5A-4E36-833B-F9D000D1D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594360</xdr:colOff>
      <xdr:row>12</xdr:row>
      <xdr:rowOff>160020</xdr:rowOff>
    </xdr:from>
    <xdr:to>
      <xdr:col>7</xdr:col>
      <xdr:colOff>152400</xdr:colOff>
      <xdr:row>24</xdr:row>
      <xdr:rowOff>38100</xdr:rowOff>
    </xdr:to>
    <xdr:graphicFrame macro="">
      <xdr:nvGraphicFramePr>
        <xdr:cNvPr id="27" name="Chart 26">
          <a:extLst>
            <a:ext uri="{FF2B5EF4-FFF2-40B4-BE49-F238E27FC236}">
              <a16:creationId xmlns:a16="http://schemas.microsoft.com/office/drawing/2014/main" id="{E916174C-FDBB-4031-AEDC-77018D415F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579120</xdr:colOff>
      <xdr:row>24</xdr:row>
      <xdr:rowOff>76200</xdr:rowOff>
    </xdr:from>
    <xdr:to>
      <xdr:col>10</xdr:col>
      <xdr:colOff>114300</xdr:colOff>
      <xdr:row>37</xdr:row>
      <xdr:rowOff>7620</xdr:rowOff>
    </xdr:to>
    <xdr:graphicFrame macro="">
      <xdr:nvGraphicFramePr>
        <xdr:cNvPr id="28" name="Chart 27">
          <a:extLst>
            <a:ext uri="{FF2B5EF4-FFF2-40B4-BE49-F238E27FC236}">
              <a16:creationId xmlns:a16="http://schemas.microsoft.com/office/drawing/2014/main" id="{D7A8F233-B617-4A81-8E12-217E3112E2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213360</xdr:colOff>
      <xdr:row>15</xdr:row>
      <xdr:rowOff>144780</xdr:rowOff>
    </xdr:from>
    <xdr:to>
      <xdr:col>23</xdr:col>
      <xdr:colOff>121920</xdr:colOff>
      <xdr:row>37</xdr:row>
      <xdr:rowOff>22860</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1E3AC8F2-367A-4F4B-917A-93607355904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1186160" y="2887980"/>
              <a:ext cx="2956560" cy="3901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152400</xdr:colOff>
      <xdr:row>24</xdr:row>
      <xdr:rowOff>121920</xdr:rowOff>
    </xdr:from>
    <xdr:to>
      <xdr:col>18</xdr:col>
      <xdr:colOff>175260</xdr:colOff>
      <xdr:row>37</xdr:row>
      <xdr:rowOff>7620</xdr:rowOff>
    </xdr:to>
    <xdr:graphicFrame macro="">
      <xdr:nvGraphicFramePr>
        <xdr:cNvPr id="30" name="Chart 29">
          <a:extLst>
            <a:ext uri="{FF2B5EF4-FFF2-40B4-BE49-F238E27FC236}">
              <a16:creationId xmlns:a16="http://schemas.microsoft.com/office/drawing/2014/main" id="{8910597A-32E3-4504-9EB5-386DA21DA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198120</xdr:colOff>
      <xdr:row>15</xdr:row>
      <xdr:rowOff>137160</xdr:rowOff>
    </xdr:from>
    <xdr:to>
      <xdr:col>12</xdr:col>
      <xdr:colOff>388620</xdr:colOff>
      <xdr:row>24</xdr:row>
      <xdr:rowOff>175260</xdr:rowOff>
    </xdr:to>
    <xdr:graphicFrame macro="">
      <xdr:nvGraphicFramePr>
        <xdr:cNvPr id="31" name="Chart 30">
          <a:extLst>
            <a:ext uri="{FF2B5EF4-FFF2-40B4-BE49-F238E27FC236}">
              <a16:creationId xmlns:a16="http://schemas.microsoft.com/office/drawing/2014/main" id="{90AD0C46-1615-4AA4-BA68-2BBE07FCC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25A19E05B7D8365F/Data_set%20.xlsx" TargetMode="External"/><Relationship Id="rId1" Type="http://schemas.openxmlformats.org/officeDocument/2006/relationships/externalLinkPath" Target="https://d.docs.live.net/25A19E05B7D8365F/Data_set%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fferent investment avenues"/>
      <sheetName val="reason"/>
      <sheetName val="objective"/>
      <sheetName val="Task-1"/>
      <sheetName val="Task-3"/>
      <sheetName val="Bubble"/>
      <sheetName val="Scatter"/>
      <sheetName val="Investment_Dashboard"/>
      <sheetName val="Data"/>
    </sheetNames>
    <sheetDataSet>
      <sheetData sheetId="0"/>
      <sheetData sheetId="1"/>
      <sheetData sheetId="2"/>
      <sheetData sheetId="3">
        <row r="47">
          <cell r="C47" t="str">
            <v>Count of Investment_Avenues</v>
          </cell>
        </row>
        <row r="48">
          <cell r="B48">
            <v>0.5</v>
          </cell>
          <cell r="C48">
            <v>18</v>
          </cell>
        </row>
        <row r="49">
          <cell r="B49">
            <v>2</v>
          </cell>
          <cell r="C49">
            <v>19</v>
          </cell>
        </row>
        <row r="50">
          <cell r="B50">
            <v>4</v>
          </cell>
          <cell r="C50">
            <v>2</v>
          </cell>
        </row>
        <row r="51">
          <cell r="B51">
            <v>6</v>
          </cell>
          <cell r="C51">
            <v>1</v>
          </cell>
        </row>
      </sheetData>
      <sheetData sheetId="4"/>
      <sheetData sheetId="5">
        <row r="2">
          <cell r="A2">
            <v>2</v>
          </cell>
          <cell r="B2">
            <v>25</v>
          </cell>
          <cell r="C2">
            <v>34</v>
          </cell>
        </row>
        <row r="3">
          <cell r="A3">
            <v>6</v>
          </cell>
          <cell r="B3">
            <v>25</v>
          </cell>
          <cell r="C3">
            <v>23</v>
          </cell>
        </row>
        <row r="4">
          <cell r="A4">
            <v>4</v>
          </cell>
          <cell r="B4">
            <v>25</v>
          </cell>
          <cell r="C4">
            <v>30</v>
          </cell>
        </row>
        <row r="5">
          <cell r="A5">
            <v>0.5</v>
          </cell>
          <cell r="B5">
            <v>15</v>
          </cell>
          <cell r="C5">
            <v>22</v>
          </cell>
        </row>
        <row r="6">
          <cell r="A6">
            <v>0.5</v>
          </cell>
          <cell r="B6">
            <v>25</v>
          </cell>
          <cell r="C6">
            <v>24</v>
          </cell>
        </row>
        <row r="7">
          <cell r="A7">
            <v>2</v>
          </cell>
          <cell r="B7">
            <v>35</v>
          </cell>
          <cell r="C7">
            <v>24</v>
          </cell>
        </row>
        <row r="8">
          <cell r="A8">
            <v>4</v>
          </cell>
          <cell r="B8">
            <v>25</v>
          </cell>
          <cell r="C8">
            <v>27</v>
          </cell>
        </row>
        <row r="9">
          <cell r="A9">
            <v>4</v>
          </cell>
          <cell r="B9">
            <v>25</v>
          </cell>
          <cell r="C9">
            <v>21</v>
          </cell>
        </row>
        <row r="10">
          <cell r="A10">
            <v>2</v>
          </cell>
          <cell r="B10">
            <v>25</v>
          </cell>
          <cell r="C10">
            <v>35</v>
          </cell>
        </row>
        <row r="11">
          <cell r="A11">
            <v>4</v>
          </cell>
          <cell r="B11">
            <v>35</v>
          </cell>
          <cell r="C11">
            <v>31</v>
          </cell>
        </row>
        <row r="12">
          <cell r="A12">
            <v>4</v>
          </cell>
          <cell r="B12">
            <v>25</v>
          </cell>
          <cell r="C12">
            <v>35</v>
          </cell>
        </row>
        <row r="13">
          <cell r="A13">
            <v>2</v>
          </cell>
          <cell r="B13">
            <v>25</v>
          </cell>
          <cell r="C13">
            <v>29</v>
          </cell>
        </row>
        <row r="14">
          <cell r="A14">
            <v>2</v>
          </cell>
          <cell r="B14">
            <v>25</v>
          </cell>
          <cell r="C14">
            <v>21</v>
          </cell>
        </row>
        <row r="15">
          <cell r="A15">
            <v>2</v>
          </cell>
          <cell r="B15">
            <v>25</v>
          </cell>
          <cell r="C15">
            <v>28</v>
          </cell>
        </row>
        <row r="16">
          <cell r="A16">
            <v>2</v>
          </cell>
          <cell r="B16">
            <v>25</v>
          </cell>
          <cell r="C16">
            <v>25</v>
          </cell>
        </row>
        <row r="17">
          <cell r="A17">
            <v>2</v>
          </cell>
          <cell r="B17">
            <v>25</v>
          </cell>
          <cell r="C17">
            <v>27</v>
          </cell>
        </row>
        <row r="18">
          <cell r="A18">
            <v>2</v>
          </cell>
          <cell r="B18">
            <v>25</v>
          </cell>
          <cell r="C18">
            <v>28</v>
          </cell>
        </row>
        <row r="19">
          <cell r="A19">
            <v>2</v>
          </cell>
          <cell r="B19">
            <v>25</v>
          </cell>
          <cell r="C19">
            <v>27</v>
          </cell>
        </row>
        <row r="20">
          <cell r="A20">
            <v>2</v>
          </cell>
          <cell r="B20">
            <v>25</v>
          </cell>
          <cell r="C20">
            <v>29</v>
          </cell>
        </row>
        <row r="21">
          <cell r="A21">
            <v>4</v>
          </cell>
          <cell r="B21">
            <v>25</v>
          </cell>
          <cell r="C21">
            <v>26</v>
          </cell>
        </row>
        <row r="22">
          <cell r="A22">
            <v>4</v>
          </cell>
          <cell r="B22">
            <v>25</v>
          </cell>
          <cell r="C22">
            <v>29</v>
          </cell>
        </row>
        <row r="23">
          <cell r="A23">
            <v>4</v>
          </cell>
          <cell r="B23">
            <v>25</v>
          </cell>
          <cell r="C23">
            <v>24</v>
          </cell>
        </row>
        <row r="24">
          <cell r="A24">
            <v>4</v>
          </cell>
          <cell r="B24">
            <v>25</v>
          </cell>
          <cell r="C24">
            <v>27</v>
          </cell>
        </row>
        <row r="25">
          <cell r="A25">
            <v>4</v>
          </cell>
          <cell r="B25">
            <v>25</v>
          </cell>
          <cell r="C25">
            <v>25</v>
          </cell>
        </row>
        <row r="26">
          <cell r="A26">
            <v>4</v>
          </cell>
          <cell r="B26">
            <v>35</v>
          </cell>
          <cell r="C26">
            <v>26</v>
          </cell>
        </row>
        <row r="27">
          <cell r="A27">
            <v>4</v>
          </cell>
          <cell r="B27">
            <v>25</v>
          </cell>
          <cell r="C27">
            <v>32</v>
          </cell>
        </row>
        <row r="28">
          <cell r="A28">
            <v>4</v>
          </cell>
          <cell r="B28">
            <v>25</v>
          </cell>
          <cell r="C28">
            <v>26</v>
          </cell>
        </row>
        <row r="29">
          <cell r="A29">
            <v>2</v>
          </cell>
          <cell r="B29">
            <v>25</v>
          </cell>
          <cell r="C29">
            <v>31</v>
          </cell>
        </row>
        <row r="30">
          <cell r="A30">
            <v>2</v>
          </cell>
          <cell r="B30">
            <v>25</v>
          </cell>
          <cell r="C30">
            <v>29</v>
          </cell>
        </row>
        <row r="31">
          <cell r="A31">
            <v>4</v>
          </cell>
          <cell r="B31">
            <v>15</v>
          </cell>
          <cell r="C31">
            <v>34</v>
          </cell>
        </row>
        <row r="32">
          <cell r="A32">
            <v>2</v>
          </cell>
          <cell r="B32">
            <v>15</v>
          </cell>
          <cell r="C32">
            <v>27</v>
          </cell>
        </row>
        <row r="33">
          <cell r="A33">
            <v>4</v>
          </cell>
          <cell r="B33">
            <v>25</v>
          </cell>
          <cell r="C33">
            <v>31</v>
          </cell>
        </row>
        <row r="34">
          <cell r="A34">
            <v>4</v>
          </cell>
          <cell r="B34">
            <v>35</v>
          </cell>
          <cell r="C34">
            <v>27</v>
          </cell>
        </row>
        <row r="35">
          <cell r="A35">
            <v>2</v>
          </cell>
          <cell r="B35">
            <v>25</v>
          </cell>
          <cell r="C35">
            <v>26</v>
          </cell>
        </row>
        <row r="36">
          <cell r="A36">
            <v>2</v>
          </cell>
          <cell r="B36">
            <v>25</v>
          </cell>
          <cell r="C36">
            <v>27</v>
          </cell>
        </row>
        <row r="37">
          <cell r="A37">
            <v>4</v>
          </cell>
          <cell r="B37">
            <v>25</v>
          </cell>
          <cell r="C37">
            <v>30</v>
          </cell>
        </row>
        <row r="38">
          <cell r="A38">
            <v>2</v>
          </cell>
          <cell r="B38">
            <v>25</v>
          </cell>
          <cell r="C38">
            <v>30</v>
          </cell>
        </row>
        <row r="39">
          <cell r="A39">
            <v>4</v>
          </cell>
          <cell r="B39">
            <v>35</v>
          </cell>
          <cell r="C39">
            <v>25</v>
          </cell>
        </row>
        <row r="40">
          <cell r="A40">
            <v>2</v>
          </cell>
          <cell r="B40">
            <v>25</v>
          </cell>
          <cell r="C40">
            <v>31</v>
          </cell>
        </row>
        <row r="41">
          <cell r="A41">
            <v>4</v>
          </cell>
          <cell r="B41">
            <v>25</v>
          </cell>
          <cell r="C41">
            <v>29</v>
          </cell>
        </row>
      </sheetData>
      <sheetData sheetId="6">
        <row r="21">
          <cell r="A21">
            <v>21</v>
          </cell>
          <cell r="B21">
            <v>3</v>
          </cell>
          <cell r="C21">
            <v>25</v>
          </cell>
        </row>
        <row r="22">
          <cell r="A22">
            <v>22</v>
          </cell>
          <cell r="B22">
            <v>0.5</v>
          </cell>
          <cell r="C22">
            <v>15</v>
          </cell>
        </row>
        <row r="23">
          <cell r="A23">
            <v>23</v>
          </cell>
          <cell r="B23">
            <v>6</v>
          </cell>
          <cell r="C23">
            <v>25</v>
          </cell>
        </row>
        <row r="24">
          <cell r="A24">
            <v>24</v>
          </cell>
          <cell r="B24">
            <v>2.1666666666666665</v>
          </cell>
          <cell r="C24">
            <v>28.333333333333332</v>
          </cell>
        </row>
        <row r="25">
          <cell r="A25">
            <v>25</v>
          </cell>
          <cell r="B25">
            <v>3.3333333333333335</v>
          </cell>
          <cell r="C25">
            <v>28.333333333333332</v>
          </cell>
        </row>
        <row r="26">
          <cell r="A26">
            <v>26</v>
          </cell>
          <cell r="B26">
            <v>3.5</v>
          </cell>
          <cell r="C26">
            <v>27.5</v>
          </cell>
        </row>
        <row r="27">
          <cell r="A27">
            <v>27</v>
          </cell>
          <cell r="B27">
            <v>2.8571428571428572</v>
          </cell>
          <cell r="C27">
            <v>25</v>
          </cell>
        </row>
        <row r="28">
          <cell r="A28">
            <v>28</v>
          </cell>
          <cell r="B28">
            <v>2</v>
          </cell>
          <cell r="C28">
            <v>25</v>
          </cell>
        </row>
        <row r="29">
          <cell r="A29">
            <v>29</v>
          </cell>
          <cell r="B29">
            <v>2.8</v>
          </cell>
          <cell r="C29">
            <v>25</v>
          </cell>
        </row>
        <row r="30">
          <cell r="A30">
            <v>30</v>
          </cell>
          <cell r="B30">
            <v>3.3333333333333335</v>
          </cell>
          <cell r="C30">
            <v>25</v>
          </cell>
        </row>
        <row r="31">
          <cell r="A31">
            <v>31</v>
          </cell>
          <cell r="B31">
            <v>3</v>
          </cell>
          <cell r="C31">
            <v>27.5</v>
          </cell>
        </row>
        <row r="32">
          <cell r="A32">
            <v>32</v>
          </cell>
          <cell r="B32">
            <v>4</v>
          </cell>
          <cell r="C32">
            <v>25</v>
          </cell>
        </row>
        <row r="33">
          <cell r="A33">
            <v>34</v>
          </cell>
          <cell r="B33">
            <v>3</v>
          </cell>
          <cell r="C33">
            <v>20</v>
          </cell>
        </row>
        <row r="34">
          <cell r="A34">
            <v>35</v>
          </cell>
          <cell r="B34">
            <v>3</v>
          </cell>
          <cell r="C34">
            <v>25</v>
          </cell>
        </row>
      </sheetData>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25A19E05B7D8365F/Data_set%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Lenovo" refreshedDate="45965.501211805553" createdVersion="8" refreshedVersion="8" minRefreshableVersion="3" recordCount="40" xr:uid="{957E55DE-D2F7-4BEB-8573-C46761291C3D}">
  <cacheSource type="worksheet">
    <worksheetSource name="Table2" r:id="rId2"/>
  </cacheSource>
  <cacheFields count="26">
    <cacheField name="Gender" numFmtId="0">
      <sharedItems count="2">
        <s v="Female"/>
        <s v="Male"/>
      </sharedItems>
    </cacheField>
    <cacheField name="Age" numFmtId="0">
      <sharedItems containsSemiMixedTypes="0" containsString="0" containsNumber="1" containsInteger="1" minValue="21" maxValue="35"/>
    </cacheField>
    <cacheField name="Investment_Avenues" numFmtId="0">
      <sharedItems count="2">
        <s v="Yes"/>
        <s v="No"/>
      </sharedItems>
    </cacheField>
    <cacheField name="Mutual_Funds" numFmtId="0">
      <sharedItems containsSemiMixedTypes="0" containsString="0" containsNumber="1" containsInteger="1" minValue="1" maxValue="7"/>
    </cacheField>
    <cacheField name="Equity_Market" numFmtId="0">
      <sharedItems containsSemiMixedTypes="0" containsString="0" containsNumber="1" containsInteger="1" minValue="1" maxValue="6"/>
    </cacheField>
    <cacheField name="Debentures" numFmtId="0">
      <sharedItems containsSemiMixedTypes="0" containsString="0" containsNumber="1" containsInteger="1" minValue="1" maxValue="7"/>
    </cacheField>
    <cacheField name="Government_Bonds" numFmtId="0">
      <sharedItems containsSemiMixedTypes="0" containsString="0" containsNumber="1" containsInteger="1" minValue="1" maxValue="7"/>
    </cacheField>
    <cacheField name="Fixed_Deposits" numFmtId="0">
      <sharedItems containsSemiMixedTypes="0" containsString="0" containsNumber="1" containsInteger="1" minValue="1" maxValue="7"/>
    </cacheField>
    <cacheField name="PPF" numFmtId="0">
      <sharedItems containsSemiMixedTypes="0" containsString="0" containsNumber="1" containsInteger="1" minValue="1" maxValue="6"/>
    </cacheField>
    <cacheField name="Gold" numFmtId="0">
      <sharedItems containsSemiMixedTypes="0" containsString="0" containsNumber="1" containsInteger="1" minValue="2" maxValue="7"/>
    </cacheField>
    <cacheField name="Stock_Marktet" numFmtId="0">
      <sharedItems count="2">
        <s v="Yes"/>
        <s v="No"/>
      </sharedItems>
    </cacheField>
    <cacheField name="Factor" numFmtId="0">
      <sharedItems/>
    </cacheField>
    <cacheField name="Objective" numFmtId="0">
      <sharedItems count="3">
        <s v="Capital Appreciation"/>
        <s v="Income"/>
        <s v="Growth"/>
      </sharedItems>
    </cacheField>
    <cacheField name="Purpose" numFmtId="0">
      <sharedItems/>
    </cacheField>
    <cacheField name="Duration " numFmtId="0">
      <sharedItems/>
    </cacheField>
    <cacheField name="Duration_Num" numFmtId="0">
      <sharedItems containsSemiMixedTypes="0" containsString="0" containsNumber="1" minValue="0.5" maxValue="6" count="4">
        <n v="2"/>
        <n v="6"/>
        <n v="4"/>
        <n v="0.5"/>
      </sharedItems>
    </cacheField>
    <cacheField name="Invest_Monitor" numFmtId="0">
      <sharedItems/>
    </cacheField>
    <cacheField name="Expect" numFmtId="0">
      <sharedItems count="3">
        <s v="20%-30%"/>
        <s v="10%-20%"/>
        <s v="30%-40%"/>
      </sharedItems>
    </cacheField>
    <cacheField name="Expect_Num" numFmtId="0">
      <sharedItems containsSemiMixedTypes="0" containsString="0" containsNumber="1" containsInteger="1" minValue="15" maxValue="35"/>
    </cacheField>
    <cacheField name="Avenue" numFmtId="0">
      <sharedItems/>
    </cacheField>
    <cacheField name="What are your savings objectives?" numFmtId="0">
      <sharedItems count="3">
        <s v="Retirement Plan"/>
        <s v="Health Care"/>
        <s v="Education"/>
      </sharedItems>
    </cacheField>
    <cacheField name="Reason_Equity" numFmtId="0">
      <sharedItems/>
    </cacheField>
    <cacheField name="Reason_Mutual" numFmtId="0">
      <sharedItems/>
    </cacheField>
    <cacheField name="Reason_Bonds" numFmtId="0">
      <sharedItems/>
    </cacheField>
    <cacheField name="Reason_FD" numFmtId="0">
      <sharedItems/>
    </cacheField>
    <cacheField name="Source" numFmtId="0">
      <sharedItems count="4">
        <s v="Newspapers and Magazines"/>
        <s v="Financial Consultants"/>
        <s v="Television"/>
        <s v="Internet"/>
      </sharedItems>
    </cacheField>
  </cacheFields>
  <extLst>
    <ext xmlns:x14="http://schemas.microsoft.com/office/spreadsheetml/2009/9/main" uri="{725AE2AE-9491-48be-B2B4-4EB974FC3084}">
      <x14:pivotCacheDefinition pivotCacheId="19049156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n v="34"/>
    <x v="0"/>
    <n v="1"/>
    <n v="2"/>
    <n v="5"/>
    <n v="3"/>
    <n v="7"/>
    <n v="6"/>
    <n v="4"/>
    <x v="0"/>
    <s v="Returns"/>
    <x v="0"/>
    <s v="Wealth Creation"/>
    <s v="1-3 years"/>
    <x v="0"/>
    <s v="Monthly"/>
    <x v="0"/>
    <n v="25"/>
    <s v="Mutual Fund"/>
    <x v="0"/>
    <s v="Capital Appreciation"/>
    <s v="Better Returns"/>
    <s v="Safe Investment"/>
    <s v="Fixed Returns"/>
    <x v="0"/>
  </r>
  <r>
    <x v="0"/>
    <n v="23"/>
    <x v="0"/>
    <n v="4"/>
    <n v="3"/>
    <n v="2"/>
    <n v="1"/>
    <n v="5"/>
    <n v="6"/>
    <n v="7"/>
    <x v="1"/>
    <s v="Locking Period"/>
    <x v="0"/>
    <s v="Wealth Creation"/>
    <s v="More than 5 years"/>
    <x v="1"/>
    <s v="Weekly"/>
    <x v="0"/>
    <n v="25"/>
    <s v="Mutual Fund"/>
    <x v="1"/>
    <s v="Dividend"/>
    <s v="Better Returns"/>
    <s v="Safe Investment"/>
    <s v="High Interest Rates"/>
    <x v="1"/>
  </r>
  <r>
    <x v="1"/>
    <n v="30"/>
    <x v="0"/>
    <n v="3"/>
    <n v="6"/>
    <n v="4"/>
    <n v="2"/>
    <n v="5"/>
    <n v="1"/>
    <n v="7"/>
    <x v="0"/>
    <s v="Returns"/>
    <x v="0"/>
    <s v="Wealth Creation"/>
    <s v="3-5 years"/>
    <x v="2"/>
    <s v="Daily"/>
    <x v="0"/>
    <n v="25"/>
    <s v="Equity"/>
    <x v="0"/>
    <s v="Capital Appreciation"/>
    <s v="Tax Benefits"/>
    <s v="Assured Returns"/>
    <s v="Fixed Returns"/>
    <x v="2"/>
  </r>
  <r>
    <x v="1"/>
    <n v="22"/>
    <x v="0"/>
    <n v="2"/>
    <n v="1"/>
    <n v="3"/>
    <n v="7"/>
    <n v="6"/>
    <n v="4"/>
    <n v="5"/>
    <x v="0"/>
    <s v="Returns"/>
    <x v="1"/>
    <s v="Wealth Creation"/>
    <s v="Less than 1 year"/>
    <x v="3"/>
    <s v="Daily"/>
    <x v="1"/>
    <n v="15"/>
    <s v="Equity"/>
    <x v="0"/>
    <s v="Dividend"/>
    <s v="Fund Diversification"/>
    <s v="Tax Incentives"/>
    <s v="High Interest Rates"/>
    <x v="3"/>
  </r>
  <r>
    <x v="0"/>
    <n v="24"/>
    <x v="1"/>
    <n v="2"/>
    <n v="1"/>
    <n v="3"/>
    <n v="6"/>
    <n v="4"/>
    <n v="5"/>
    <n v="7"/>
    <x v="1"/>
    <s v="Returns"/>
    <x v="1"/>
    <s v="Wealth Creation"/>
    <s v="Less than 1 year"/>
    <x v="3"/>
    <s v="Daily"/>
    <x v="0"/>
    <n v="25"/>
    <s v="Equity"/>
    <x v="0"/>
    <s v="Capital Appreciation"/>
    <s v="Better Returns"/>
    <s v="Safe Investment"/>
    <s v="Risk Free"/>
    <x v="3"/>
  </r>
  <r>
    <x v="0"/>
    <n v="24"/>
    <x v="1"/>
    <n v="7"/>
    <n v="5"/>
    <n v="4"/>
    <n v="6"/>
    <n v="3"/>
    <n v="1"/>
    <n v="2"/>
    <x v="1"/>
    <s v="Risk"/>
    <x v="0"/>
    <s v="Wealth Creation"/>
    <s v="1-3 years"/>
    <x v="0"/>
    <s v="Daily"/>
    <x v="2"/>
    <n v="35"/>
    <s v="Mutual Fund"/>
    <x v="0"/>
    <s v="Liquidity"/>
    <s v="Fund Diversification"/>
    <s v="Safe Investment"/>
    <s v="Risk Free"/>
    <x v="3"/>
  </r>
  <r>
    <x v="0"/>
    <n v="27"/>
    <x v="0"/>
    <n v="3"/>
    <n v="6"/>
    <n v="4"/>
    <n v="2"/>
    <n v="5"/>
    <n v="1"/>
    <n v="7"/>
    <x v="0"/>
    <s v="Returns"/>
    <x v="0"/>
    <s v="Wealth Creation"/>
    <s v="3-5 years"/>
    <x v="2"/>
    <s v="Monthly"/>
    <x v="0"/>
    <n v="25"/>
    <s v="Equity"/>
    <x v="0"/>
    <s v="Capital Appreciation"/>
    <s v="Better Returns"/>
    <s v="Assured Returns"/>
    <s v="High Interest Rates"/>
    <x v="1"/>
  </r>
  <r>
    <x v="1"/>
    <n v="21"/>
    <x v="0"/>
    <n v="2"/>
    <n v="3"/>
    <n v="7"/>
    <n v="4"/>
    <n v="6"/>
    <n v="1"/>
    <n v="5"/>
    <x v="0"/>
    <s v="Risk"/>
    <x v="0"/>
    <s v="Wealth Creation"/>
    <s v="3-5 years"/>
    <x v="2"/>
    <s v="Monthly"/>
    <x v="0"/>
    <n v="25"/>
    <s v="Mutual Fund"/>
    <x v="0"/>
    <s v="Capital Appreciation"/>
    <s v="Better Returns"/>
    <s v="Assured Returns"/>
    <s v="Risk Free"/>
    <x v="0"/>
  </r>
  <r>
    <x v="1"/>
    <n v="35"/>
    <x v="0"/>
    <n v="2"/>
    <n v="4"/>
    <n v="7"/>
    <n v="5"/>
    <n v="3"/>
    <n v="1"/>
    <n v="6"/>
    <x v="0"/>
    <s v="Returns"/>
    <x v="2"/>
    <s v="Savings for Future"/>
    <s v="1-3 years"/>
    <x v="0"/>
    <s v="Weekly"/>
    <x v="0"/>
    <n v="25"/>
    <s v="Equity"/>
    <x v="0"/>
    <s v="Capital Appreciation"/>
    <s v="Fund Diversification"/>
    <s v="Safe Investment"/>
    <s v="Fixed Returns"/>
    <x v="2"/>
  </r>
  <r>
    <x v="1"/>
    <n v="31"/>
    <x v="0"/>
    <n v="1"/>
    <n v="3"/>
    <n v="7"/>
    <n v="4"/>
    <n v="5"/>
    <n v="2"/>
    <n v="6"/>
    <x v="0"/>
    <s v="Returns"/>
    <x v="0"/>
    <s v="Wealth Creation"/>
    <s v="3-5 years"/>
    <x v="2"/>
    <s v="Monthly"/>
    <x v="2"/>
    <n v="35"/>
    <s v="Fixed Deposits"/>
    <x v="0"/>
    <s v="Capital Appreciation"/>
    <s v="Fund Diversification"/>
    <s v="Assured Returns"/>
    <s v="Fixed Returns"/>
    <x v="0"/>
  </r>
  <r>
    <x v="0"/>
    <n v="35"/>
    <x v="0"/>
    <n v="2"/>
    <n v="4"/>
    <n v="7"/>
    <n v="5"/>
    <n v="3"/>
    <n v="1"/>
    <n v="6"/>
    <x v="0"/>
    <s v="Risk"/>
    <x v="2"/>
    <s v="Savings for Future"/>
    <s v="3-5 years"/>
    <x v="2"/>
    <s v="Monthly"/>
    <x v="0"/>
    <n v="25"/>
    <s v="Mutual Fund"/>
    <x v="0"/>
    <s v="Capital Appreciation"/>
    <s v="Better Returns"/>
    <s v="Assured Returns"/>
    <s v="Risk Free"/>
    <x v="1"/>
  </r>
  <r>
    <x v="1"/>
    <n v="29"/>
    <x v="0"/>
    <n v="2"/>
    <n v="5"/>
    <n v="7"/>
    <n v="6"/>
    <n v="3"/>
    <n v="1"/>
    <n v="4"/>
    <x v="0"/>
    <s v="Risk"/>
    <x v="0"/>
    <s v="Wealth Creation"/>
    <s v="1-3 years"/>
    <x v="0"/>
    <s v="Monthly"/>
    <x v="0"/>
    <n v="25"/>
    <s v="Mutual Fund"/>
    <x v="0"/>
    <s v="Capital Appreciation"/>
    <s v="Fund Diversification"/>
    <s v="Assured Returns"/>
    <s v="Fixed Returns"/>
    <x v="1"/>
  </r>
  <r>
    <x v="0"/>
    <n v="21"/>
    <x v="1"/>
    <n v="1"/>
    <n v="2"/>
    <n v="3"/>
    <n v="4"/>
    <n v="5"/>
    <n v="6"/>
    <n v="7"/>
    <x v="1"/>
    <s v="Returns"/>
    <x v="0"/>
    <s v="Savings for Future"/>
    <s v="1-3 years"/>
    <x v="0"/>
    <s v="Weekly"/>
    <x v="0"/>
    <n v="25"/>
    <s v="Mutual Fund"/>
    <x v="2"/>
    <s v="Dividend"/>
    <s v="Better Returns"/>
    <s v="Safe Investment"/>
    <s v="Risk Free"/>
    <x v="3"/>
  </r>
  <r>
    <x v="0"/>
    <n v="28"/>
    <x v="0"/>
    <n v="2"/>
    <n v="3"/>
    <n v="7"/>
    <n v="4"/>
    <n v="5"/>
    <n v="1"/>
    <n v="6"/>
    <x v="0"/>
    <s v="Returns"/>
    <x v="0"/>
    <s v="Wealth Creation"/>
    <s v="1-3 years"/>
    <x v="0"/>
    <s v="Monthly"/>
    <x v="0"/>
    <n v="25"/>
    <s v="Mutual Fund"/>
    <x v="0"/>
    <s v="Capital Appreciation"/>
    <s v="Fund Diversification"/>
    <s v="Assured Returns"/>
    <s v="Risk Free"/>
    <x v="0"/>
  </r>
  <r>
    <x v="0"/>
    <n v="25"/>
    <x v="0"/>
    <n v="2"/>
    <n v="3"/>
    <n v="7"/>
    <n v="5"/>
    <n v="4"/>
    <n v="1"/>
    <n v="6"/>
    <x v="0"/>
    <s v="Returns"/>
    <x v="0"/>
    <s v="Wealth Creation"/>
    <s v="1-3 years"/>
    <x v="0"/>
    <s v="Monthly"/>
    <x v="0"/>
    <n v="25"/>
    <s v="Fixed Deposits"/>
    <x v="1"/>
    <s v="Dividend"/>
    <s v="Better Returns"/>
    <s v="Assured Returns"/>
    <s v="Risk Free"/>
    <x v="1"/>
  </r>
  <r>
    <x v="1"/>
    <n v="27"/>
    <x v="0"/>
    <n v="2"/>
    <n v="3"/>
    <n v="7"/>
    <n v="5"/>
    <n v="4"/>
    <n v="1"/>
    <n v="6"/>
    <x v="0"/>
    <s v="Returns"/>
    <x v="0"/>
    <s v="Wealth Creation"/>
    <s v="1-3 years"/>
    <x v="0"/>
    <s v="Monthly"/>
    <x v="0"/>
    <n v="25"/>
    <s v="Mutual Fund"/>
    <x v="1"/>
    <s v="Capital Appreciation"/>
    <s v="Fund Diversification"/>
    <s v="Assured Returns"/>
    <s v="Risk Free"/>
    <x v="0"/>
  </r>
  <r>
    <x v="0"/>
    <n v="28"/>
    <x v="0"/>
    <n v="3"/>
    <n v="2"/>
    <n v="7"/>
    <n v="5"/>
    <n v="4"/>
    <n v="1"/>
    <n v="6"/>
    <x v="0"/>
    <s v="Risk"/>
    <x v="2"/>
    <s v="Wealth Creation"/>
    <s v="1-3 years"/>
    <x v="0"/>
    <s v="Monthly"/>
    <x v="0"/>
    <n v="25"/>
    <s v="Fixed Deposits"/>
    <x v="1"/>
    <s v="Capital Appreciation"/>
    <s v="Fund Diversification"/>
    <s v="Assured Returns"/>
    <s v="Risk Free"/>
    <x v="2"/>
  </r>
  <r>
    <x v="1"/>
    <n v="27"/>
    <x v="0"/>
    <n v="3"/>
    <n v="2"/>
    <n v="7"/>
    <n v="4"/>
    <n v="5"/>
    <n v="1"/>
    <n v="6"/>
    <x v="0"/>
    <s v="Returns"/>
    <x v="0"/>
    <s v="Wealth Creation"/>
    <s v="1-3 years"/>
    <x v="0"/>
    <s v="Monthly"/>
    <x v="0"/>
    <n v="25"/>
    <s v="Mutual Fund"/>
    <x v="0"/>
    <s v="Capital Appreciation"/>
    <s v="Better Returns"/>
    <s v="Assured Returns"/>
    <s v="Risk Free"/>
    <x v="1"/>
  </r>
  <r>
    <x v="1"/>
    <n v="29"/>
    <x v="0"/>
    <n v="3"/>
    <n v="2"/>
    <n v="7"/>
    <n v="4"/>
    <n v="5"/>
    <n v="1"/>
    <n v="6"/>
    <x v="0"/>
    <s v="Risk"/>
    <x v="0"/>
    <s v="Wealth Creation"/>
    <s v="1-3 years"/>
    <x v="0"/>
    <s v="Monthly"/>
    <x v="0"/>
    <n v="25"/>
    <s v="Mutual Fund"/>
    <x v="0"/>
    <s v="Capital Appreciation"/>
    <s v="Better Returns"/>
    <s v="Assured Returns"/>
    <s v="Risk Free"/>
    <x v="0"/>
  </r>
  <r>
    <x v="1"/>
    <n v="26"/>
    <x v="0"/>
    <n v="3"/>
    <n v="4"/>
    <n v="6"/>
    <n v="5"/>
    <n v="1"/>
    <n v="2"/>
    <n v="7"/>
    <x v="0"/>
    <s v="Risk"/>
    <x v="0"/>
    <s v="Wealth Creation"/>
    <s v="3-5 years"/>
    <x v="2"/>
    <s v="Monthly"/>
    <x v="0"/>
    <n v="25"/>
    <s v="Fixed Deposits"/>
    <x v="1"/>
    <s v="Capital Appreciation"/>
    <s v="Fund Diversification"/>
    <s v="Assured Returns"/>
    <s v="Risk Free"/>
    <x v="0"/>
  </r>
  <r>
    <x v="1"/>
    <n v="29"/>
    <x v="0"/>
    <n v="2"/>
    <n v="4"/>
    <n v="7"/>
    <n v="5"/>
    <n v="3"/>
    <n v="1"/>
    <n v="6"/>
    <x v="0"/>
    <s v="Returns"/>
    <x v="2"/>
    <s v="Wealth Creation"/>
    <s v="3-5 years"/>
    <x v="2"/>
    <s v="Weekly"/>
    <x v="0"/>
    <n v="25"/>
    <s v="Mutual Fund"/>
    <x v="0"/>
    <s v="Capital Appreciation"/>
    <s v="Better Returns"/>
    <s v="Assured Returns"/>
    <s v="Fixed Returns"/>
    <x v="1"/>
  </r>
  <r>
    <x v="0"/>
    <n v="24"/>
    <x v="0"/>
    <n v="2"/>
    <n v="4"/>
    <n v="5"/>
    <n v="6"/>
    <n v="3"/>
    <n v="1"/>
    <n v="7"/>
    <x v="0"/>
    <s v="Risk"/>
    <x v="0"/>
    <s v="Wealth Creation"/>
    <s v="3-5 years"/>
    <x v="2"/>
    <s v="Monthly"/>
    <x v="0"/>
    <n v="25"/>
    <s v="Equity"/>
    <x v="1"/>
    <s v="Capital Appreciation"/>
    <s v="Better Returns"/>
    <s v="Assured Returns"/>
    <s v="Risk Free"/>
    <x v="0"/>
  </r>
  <r>
    <x v="1"/>
    <n v="27"/>
    <x v="0"/>
    <n v="3"/>
    <n v="4"/>
    <n v="6"/>
    <n v="5"/>
    <n v="2"/>
    <n v="1"/>
    <n v="7"/>
    <x v="0"/>
    <s v="Returns"/>
    <x v="0"/>
    <s v="Wealth Creation"/>
    <s v="3-5 years"/>
    <x v="2"/>
    <s v="Monthly"/>
    <x v="0"/>
    <n v="25"/>
    <s v="Mutual Fund"/>
    <x v="0"/>
    <s v="Capital Appreciation"/>
    <s v="Better Returns"/>
    <s v="Assured Returns"/>
    <s v="Risk Free"/>
    <x v="1"/>
  </r>
  <r>
    <x v="1"/>
    <n v="25"/>
    <x v="0"/>
    <n v="2"/>
    <n v="4"/>
    <n v="6"/>
    <n v="5"/>
    <n v="3"/>
    <n v="1"/>
    <n v="7"/>
    <x v="0"/>
    <s v="Risk"/>
    <x v="2"/>
    <s v="Savings for Future"/>
    <s v="3-5 years"/>
    <x v="2"/>
    <s v="Weekly"/>
    <x v="0"/>
    <n v="25"/>
    <s v="Public Provident Fund"/>
    <x v="1"/>
    <s v="Liquidity"/>
    <s v="Better Returns"/>
    <s v="Assured Returns"/>
    <s v="Risk Free"/>
    <x v="1"/>
  </r>
  <r>
    <x v="0"/>
    <n v="26"/>
    <x v="0"/>
    <n v="2"/>
    <n v="3"/>
    <n v="7"/>
    <n v="5"/>
    <n v="4"/>
    <n v="1"/>
    <n v="6"/>
    <x v="0"/>
    <s v="Returns"/>
    <x v="0"/>
    <s v="Wealth Creation"/>
    <s v="3-5 years"/>
    <x v="2"/>
    <s v="Monthly"/>
    <x v="2"/>
    <n v="35"/>
    <s v="Public Provident Fund"/>
    <x v="0"/>
    <s v="Capital Appreciation"/>
    <s v="Better Returns"/>
    <s v="Assured Returns"/>
    <s v="Risk Free"/>
    <x v="0"/>
  </r>
  <r>
    <x v="0"/>
    <n v="32"/>
    <x v="0"/>
    <n v="3"/>
    <n v="4"/>
    <n v="7"/>
    <n v="5"/>
    <n v="1"/>
    <n v="2"/>
    <n v="6"/>
    <x v="0"/>
    <s v="Risk"/>
    <x v="2"/>
    <s v="Wealth Creation"/>
    <s v="3-5 years"/>
    <x v="2"/>
    <s v="Monthly"/>
    <x v="0"/>
    <n v="25"/>
    <s v="Mutual Fund"/>
    <x v="0"/>
    <s v="Capital Appreciation"/>
    <s v="Better Returns"/>
    <s v="Assured Returns"/>
    <s v="Fixed Returns"/>
    <x v="1"/>
  </r>
  <r>
    <x v="1"/>
    <n v="26"/>
    <x v="0"/>
    <n v="3"/>
    <n v="4"/>
    <n v="6"/>
    <n v="5"/>
    <n v="1"/>
    <n v="2"/>
    <n v="7"/>
    <x v="0"/>
    <s v="Returns"/>
    <x v="0"/>
    <s v="Wealth Creation"/>
    <s v="3-5 years"/>
    <x v="2"/>
    <s v="Monthly"/>
    <x v="0"/>
    <n v="25"/>
    <s v="Mutual Fund"/>
    <x v="0"/>
    <s v="Dividend"/>
    <s v="Fund Diversification"/>
    <s v="Assured Returns"/>
    <s v="Fixed Returns"/>
    <x v="1"/>
  </r>
  <r>
    <x v="1"/>
    <n v="31"/>
    <x v="0"/>
    <n v="2"/>
    <n v="3"/>
    <n v="7"/>
    <n v="6"/>
    <n v="4"/>
    <n v="1"/>
    <n v="5"/>
    <x v="0"/>
    <s v="Risk"/>
    <x v="2"/>
    <s v="Savings for Future"/>
    <s v="1-3 years"/>
    <x v="0"/>
    <s v="Monthly"/>
    <x v="0"/>
    <n v="25"/>
    <s v="Fixed Deposits"/>
    <x v="1"/>
    <s v="Capital Appreciation"/>
    <s v="Fund Diversification"/>
    <s v="Safe Investment"/>
    <s v="Fixed Returns"/>
    <x v="2"/>
  </r>
  <r>
    <x v="1"/>
    <n v="29"/>
    <x v="0"/>
    <n v="2"/>
    <n v="3"/>
    <n v="6"/>
    <n v="5"/>
    <n v="1"/>
    <n v="4"/>
    <n v="7"/>
    <x v="0"/>
    <s v="Returns"/>
    <x v="0"/>
    <s v="Wealth Creation"/>
    <s v="1-3 years"/>
    <x v="0"/>
    <s v="Monthly"/>
    <x v="0"/>
    <n v="25"/>
    <s v="Equity"/>
    <x v="0"/>
    <s v="Capital Appreciation"/>
    <s v="Better Returns"/>
    <s v="Assured Returns"/>
    <s v="Risk Free"/>
    <x v="2"/>
  </r>
  <r>
    <x v="0"/>
    <n v="34"/>
    <x v="0"/>
    <n v="5"/>
    <n v="4"/>
    <n v="3"/>
    <n v="2"/>
    <n v="7"/>
    <n v="1"/>
    <n v="6"/>
    <x v="0"/>
    <s v="Returns"/>
    <x v="1"/>
    <s v="Returns"/>
    <s v="3-5 years"/>
    <x v="2"/>
    <s v="Monthly"/>
    <x v="1"/>
    <n v="15"/>
    <s v="Mutual Fund"/>
    <x v="0"/>
    <s v="Capital Appreciation"/>
    <s v="Tax Benefits"/>
    <s v="Safe Investment"/>
    <s v="Fixed Returns"/>
    <x v="0"/>
  </r>
  <r>
    <x v="1"/>
    <n v="27"/>
    <x v="0"/>
    <n v="4"/>
    <n v="5"/>
    <n v="1"/>
    <n v="2"/>
    <n v="7"/>
    <n v="3"/>
    <n v="6"/>
    <x v="1"/>
    <s v="Returns"/>
    <x v="2"/>
    <s v="Wealth Creation"/>
    <s v="1-3 years"/>
    <x v="0"/>
    <s v="Monthly"/>
    <x v="1"/>
    <n v="15"/>
    <s v="Mutual Fund"/>
    <x v="2"/>
    <s v="Capital Appreciation"/>
    <s v="Tax Benefits"/>
    <s v="Safe Investment"/>
    <s v="Fixed Returns"/>
    <x v="2"/>
  </r>
  <r>
    <x v="0"/>
    <n v="31"/>
    <x v="0"/>
    <n v="2"/>
    <n v="4"/>
    <n v="7"/>
    <n v="6"/>
    <n v="3"/>
    <n v="1"/>
    <n v="5"/>
    <x v="0"/>
    <s v="Returns"/>
    <x v="0"/>
    <s v="Wealth Creation"/>
    <s v="3-5 years"/>
    <x v="2"/>
    <s v="Monthly"/>
    <x v="0"/>
    <n v="25"/>
    <s v="Fixed Deposits"/>
    <x v="0"/>
    <s v="Capital Appreciation"/>
    <s v="Better Returns"/>
    <s v="Assured Returns"/>
    <s v="Fixed Returns"/>
    <x v="1"/>
  </r>
  <r>
    <x v="1"/>
    <n v="27"/>
    <x v="0"/>
    <n v="2"/>
    <n v="4"/>
    <n v="7"/>
    <n v="5"/>
    <n v="1"/>
    <n v="3"/>
    <n v="6"/>
    <x v="0"/>
    <s v="Returns"/>
    <x v="0"/>
    <s v="Wealth Creation"/>
    <s v="3-5 years"/>
    <x v="2"/>
    <s v="Monthly"/>
    <x v="2"/>
    <n v="35"/>
    <s v="Equity"/>
    <x v="1"/>
    <s v="Capital Appreciation"/>
    <s v="Fund Diversification"/>
    <s v="Assured Returns"/>
    <s v="Fixed Returns"/>
    <x v="0"/>
  </r>
  <r>
    <x v="1"/>
    <n v="26"/>
    <x v="0"/>
    <n v="2"/>
    <n v="3"/>
    <n v="6"/>
    <n v="4"/>
    <n v="1"/>
    <n v="5"/>
    <n v="7"/>
    <x v="0"/>
    <s v="Returns"/>
    <x v="0"/>
    <s v="Returns"/>
    <s v="1-3 years"/>
    <x v="0"/>
    <s v="Monthly"/>
    <x v="0"/>
    <n v="25"/>
    <s v="Fixed Deposits"/>
    <x v="2"/>
    <s v="Dividend"/>
    <s v="Better Returns"/>
    <s v="Safe Investment"/>
    <s v="Risk Free"/>
    <x v="0"/>
  </r>
  <r>
    <x v="1"/>
    <n v="27"/>
    <x v="0"/>
    <n v="2"/>
    <n v="3"/>
    <n v="6"/>
    <n v="5"/>
    <n v="4"/>
    <n v="1"/>
    <n v="7"/>
    <x v="0"/>
    <s v="Returns"/>
    <x v="0"/>
    <s v="Wealth Creation"/>
    <s v="1-3 years"/>
    <x v="0"/>
    <s v="Weekly"/>
    <x v="0"/>
    <n v="25"/>
    <s v="Mutual Fund"/>
    <x v="1"/>
    <s v="Capital Appreciation"/>
    <s v="Better Returns"/>
    <s v="Safe Investment"/>
    <s v="Fixed Returns"/>
    <x v="1"/>
  </r>
  <r>
    <x v="1"/>
    <n v="30"/>
    <x v="0"/>
    <n v="1"/>
    <n v="4"/>
    <n v="6"/>
    <n v="5"/>
    <n v="3"/>
    <n v="2"/>
    <n v="7"/>
    <x v="0"/>
    <s v="Risk"/>
    <x v="2"/>
    <s v="Wealth Creation"/>
    <s v="3-5 years"/>
    <x v="2"/>
    <s v="Monthly"/>
    <x v="0"/>
    <n v="25"/>
    <s v="Fixed Deposits"/>
    <x v="1"/>
    <s v="Capital Appreciation"/>
    <s v="Better Returns"/>
    <s v="Assured Returns"/>
    <s v="Fixed Returns"/>
    <x v="1"/>
  </r>
  <r>
    <x v="1"/>
    <n v="30"/>
    <x v="0"/>
    <n v="2"/>
    <n v="4"/>
    <n v="7"/>
    <n v="5"/>
    <n v="1"/>
    <n v="3"/>
    <n v="6"/>
    <x v="0"/>
    <s v="Returns"/>
    <x v="0"/>
    <s v="Wealth Creation"/>
    <s v="1-3 years"/>
    <x v="0"/>
    <s v="Monthly"/>
    <x v="0"/>
    <n v="25"/>
    <s v="Equity"/>
    <x v="0"/>
    <s v="Capital Appreciation"/>
    <s v="Better Returns"/>
    <s v="Assured Returns"/>
    <s v="Risk Free"/>
    <x v="0"/>
  </r>
  <r>
    <x v="1"/>
    <n v="25"/>
    <x v="0"/>
    <n v="5"/>
    <n v="4"/>
    <n v="7"/>
    <n v="6"/>
    <n v="1"/>
    <n v="2"/>
    <n v="3"/>
    <x v="0"/>
    <s v="Risk"/>
    <x v="2"/>
    <s v="Savings for Future"/>
    <s v="3-5 years"/>
    <x v="2"/>
    <s v="Monthly"/>
    <x v="2"/>
    <n v="35"/>
    <s v="Public Provident Fund"/>
    <x v="1"/>
    <s v="Capital Appreciation"/>
    <s v="Better Returns"/>
    <s v="Safe Investment"/>
    <s v="Fixed Returns"/>
    <x v="1"/>
  </r>
  <r>
    <x v="1"/>
    <n v="31"/>
    <x v="0"/>
    <n v="2"/>
    <n v="4"/>
    <n v="7"/>
    <n v="5"/>
    <n v="3"/>
    <n v="1"/>
    <n v="6"/>
    <x v="0"/>
    <s v="Risk"/>
    <x v="2"/>
    <s v="Wealth Creation"/>
    <s v="1-3 years"/>
    <x v="0"/>
    <s v="Weekly"/>
    <x v="0"/>
    <n v="25"/>
    <s v="Equity"/>
    <x v="1"/>
    <s v="Dividend"/>
    <s v="Fund Diversification"/>
    <s v="Assured Returns"/>
    <s v="Fixed Returns"/>
    <x v="0"/>
  </r>
  <r>
    <x v="1"/>
    <n v="29"/>
    <x v="0"/>
    <n v="4"/>
    <n v="3"/>
    <n v="5"/>
    <n v="7"/>
    <n v="2"/>
    <n v="1"/>
    <n v="6"/>
    <x v="0"/>
    <s v="Returns"/>
    <x v="0"/>
    <s v="Wealth Creation"/>
    <s v="3-5 years"/>
    <x v="2"/>
    <s v="Monthly"/>
    <x v="0"/>
    <n v="25"/>
    <s v="Fixed Deposits"/>
    <x v="0"/>
    <s v="Dividend"/>
    <s v="Better Returns"/>
    <s v="Safe Investment"/>
    <s v="Fixed Returns"/>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D0C0170-7711-4481-BD51-D888B68D5B72}" sourceName="Gender">
  <data>
    <tabular pivotCacheId="19049156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Avenues" xr10:uid="{8F5A2ECA-DC60-4CAF-9EE0-92A7E1268B50}" sourceName="Investment_Avenues">
  <data>
    <tabular pivotCacheId="190491567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65645BF8-0C96-4F11-B2E7-BB445B370BC1}" cache="Slicer_Gender1" caption="Gender" columnCount="2" style="SlicerStyleDark6" rowHeight="396000"/>
  <slicer name="Investment_Avenues 2" xr10:uid="{2020115D-B931-495D-ABA3-01E37E26D362}" cache="Slicer_Investment_Avenues" caption="Investment_Avenues" columnCount="2" style="SlicerStyleLight2 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4EEA69-E239-4601-9673-8EE6F04D9DE4}" name="Table2" displayName="Table2" ref="A1:Z41" totalsRowShown="0" headerRowDxfId="27" dataDxfId="26">
  <autoFilter ref="A1:Z41" xr:uid="{D34EEA69-E239-4601-9673-8EE6F04D9DE4}"/>
  <sortState xmlns:xlrd2="http://schemas.microsoft.com/office/spreadsheetml/2017/richdata2" ref="A2:Z41">
    <sortCondition ref="A1:A41"/>
  </sortState>
  <tableColumns count="26">
    <tableColumn id="1" xr3:uid="{96ABBD59-8504-4F55-AF99-605A155BF503}" name="Gender" dataDxfId="25"/>
    <tableColumn id="2" xr3:uid="{712C0A7C-4A87-46EB-8619-F050DB85EB98}" name="Age" dataDxfId="24"/>
    <tableColumn id="3" xr3:uid="{0C1FAF1D-18D4-4DD3-8C17-9185C4757F28}" name="Investment_Avenues" dataDxfId="23"/>
    <tableColumn id="4" xr3:uid="{5BAD4228-568B-47C0-AA89-B9FF01A2A4DE}" name="Mutual_Funds" dataDxfId="22"/>
    <tableColumn id="5" xr3:uid="{35517C4C-CAE8-4A9C-A342-41F992CE107A}" name="Equity_Market" dataDxfId="21"/>
    <tableColumn id="6" xr3:uid="{4DC9C1D1-5F7B-46B5-9B4F-89E37F348619}" name="Debentures" dataDxfId="20"/>
    <tableColumn id="7" xr3:uid="{1152D2F3-CDDB-48D5-9AB7-0F213F7502EB}" name="Government_Bonds" dataDxfId="19"/>
    <tableColumn id="8" xr3:uid="{3F6F5FED-B479-436C-A839-9E06AA3EF649}" name="Fixed_Deposits" dataDxfId="18"/>
    <tableColumn id="9" xr3:uid="{8AE4FA40-793B-45D2-851E-0A3DC7EC5F95}" name="PPF" dataDxfId="17"/>
    <tableColumn id="10" xr3:uid="{1EEE82C6-161E-482F-BCD0-7562423830FF}" name="Gold" dataDxfId="16"/>
    <tableColumn id="11" xr3:uid="{F398182A-DAA8-41EF-BE2F-E6E79ADEF114}" name="Stock_Marktet" dataDxfId="15"/>
    <tableColumn id="12" xr3:uid="{8FAD97D5-FD91-4EE2-98C7-2637FE19FA18}" name="Factor" dataDxfId="14"/>
    <tableColumn id="13" xr3:uid="{B2154D06-5AE3-421C-AD80-59AC7DF88B3D}" name="Objective" dataDxfId="13"/>
    <tableColumn id="14" xr3:uid="{6CA8856B-0329-42EB-AD7C-33153EBFAE59}" name="Purpose" dataDxfId="12"/>
    <tableColumn id="25" xr3:uid="{79F1C353-B2DD-4BA0-BB5D-66A6CAA1B5A1}" name="Duration " dataDxfId="11"/>
    <tableColumn id="27" xr3:uid="{AE8673C3-B815-4133-874C-5C098450EBAC}" name="Duration_Num" dataDxfId="10">
      <calculatedColumnFormula>IF(O2="Less than 1 year",0.5,IF(O2="1-3 years",2,IF(O2="3-5 years",4,IF(O2="More than 5 years",6))))</calculatedColumnFormula>
    </tableColumn>
    <tableColumn id="16" xr3:uid="{1AAE6CF7-299F-489E-AD61-ECD9352D84B8}" name="Invest_Monitor" dataDxfId="9"/>
    <tableColumn id="17" xr3:uid="{47231BF9-E5A3-4BA0-A151-0FFC03134837}" name="Expect" dataDxfId="8"/>
    <tableColumn id="30" xr3:uid="{89FAC885-8111-4467-9C10-A67894551967}" name="Expect_Num" dataDxfId="7">
      <calculatedColumnFormula>IF(R2="10%-20%",15,IF(R2="20%-30%",25,IF(R2="30%-40%",35,NA())))</calculatedColumnFormula>
    </tableColumn>
    <tableColumn id="18" xr3:uid="{614C4327-1B58-4500-BEA2-527DE60C4E28}" name="Avenue" dataDxfId="6"/>
    <tableColumn id="19" xr3:uid="{0B369D5A-7072-4807-9F04-C36446A67E49}" name="What are your savings objectives?" dataDxfId="5"/>
    <tableColumn id="20" xr3:uid="{07B61873-ABD8-43B2-A8D4-A82D60623EEE}" name="Reason_Equity" dataDxfId="4"/>
    <tableColumn id="21" xr3:uid="{474F1541-3628-4F86-BD7B-1B42F9AE07E5}" name="Reason_Mutual" dataDxfId="3"/>
    <tableColumn id="22" xr3:uid="{547BEBDF-E1B5-455E-9B1D-9814D3AF2929}" name="Reason_Bonds" dataDxfId="2"/>
    <tableColumn id="23" xr3:uid="{1ECB89F6-04EA-4772-8032-F525E2A708B2}" name="Reason_FD" dataDxfId="1"/>
    <tableColumn id="24" xr3:uid="{E54BBD9D-EB22-4E0D-AF19-55D59C941F31}" name="Sourc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12346-B772-4F45-BF11-0A266002F083}">
  <dimension ref="A1:Z41"/>
  <sheetViews>
    <sheetView workbookViewId="0">
      <selection activeCell="G29" sqref="G29"/>
    </sheetView>
  </sheetViews>
  <sheetFormatPr defaultRowHeight="14.4" x14ac:dyDescent="0.3"/>
  <sheetData>
    <row r="1" spans="1:26" ht="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1" t="s">
        <v>17</v>
      </c>
      <c r="S1" s="1" t="s">
        <v>18</v>
      </c>
      <c r="T1" s="1" t="s">
        <v>19</v>
      </c>
      <c r="U1" s="1" t="s">
        <v>20</v>
      </c>
      <c r="V1" s="1" t="s">
        <v>21</v>
      </c>
      <c r="W1" s="1" t="s">
        <v>22</v>
      </c>
      <c r="X1" s="1" t="s">
        <v>23</v>
      </c>
      <c r="Y1" s="1" t="s">
        <v>24</v>
      </c>
      <c r="Z1" s="1" t="s">
        <v>25</v>
      </c>
    </row>
    <row r="2" spans="1:26" x14ac:dyDescent="0.3">
      <c r="A2" s="3" t="s">
        <v>26</v>
      </c>
      <c r="B2" s="3">
        <v>34</v>
      </c>
      <c r="C2" s="3" t="s">
        <v>27</v>
      </c>
      <c r="D2" s="3">
        <v>1</v>
      </c>
      <c r="E2" s="3">
        <v>2</v>
      </c>
      <c r="F2" s="3">
        <v>5</v>
      </c>
      <c r="G2" s="3">
        <v>3</v>
      </c>
      <c r="H2" s="3">
        <v>7</v>
      </c>
      <c r="I2" s="3">
        <v>6</v>
      </c>
      <c r="J2" s="3">
        <v>4</v>
      </c>
      <c r="K2" s="3" t="s">
        <v>27</v>
      </c>
      <c r="L2" s="3" t="s">
        <v>28</v>
      </c>
      <c r="M2" s="3" t="s">
        <v>29</v>
      </c>
      <c r="N2" s="3" t="s">
        <v>30</v>
      </c>
      <c r="O2" s="3" t="s">
        <v>31</v>
      </c>
      <c r="P2" s="3">
        <f>IF(O2="Less than 1 year",0.5,IF(O2="1-3 years",2,IF(O2="3-5 years",4,IF(O2="More than 5 years",6))))</f>
        <v>2</v>
      </c>
      <c r="Q2" s="3" t="s">
        <v>32</v>
      </c>
      <c r="R2" s="3" t="s">
        <v>33</v>
      </c>
      <c r="S2" s="3">
        <f>IF(R2="10%-20%",15,IF(R2="20%-30%",25,IF(R2="30%-40%",35,NA())))</f>
        <v>25</v>
      </c>
      <c r="T2" s="3" t="s">
        <v>34</v>
      </c>
      <c r="U2" s="3" t="s">
        <v>35</v>
      </c>
      <c r="V2" s="3" t="s">
        <v>29</v>
      </c>
      <c r="W2" s="3" t="s">
        <v>36</v>
      </c>
      <c r="X2" s="3" t="s">
        <v>37</v>
      </c>
      <c r="Y2" s="3" t="s">
        <v>38</v>
      </c>
      <c r="Z2" s="3" t="s">
        <v>39</v>
      </c>
    </row>
    <row r="3" spans="1:26" x14ac:dyDescent="0.3">
      <c r="A3" s="3" t="s">
        <v>26</v>
      </c>
      <c r="B3" s="3">
        <v>23</v>
      </c>
      <c r="C3" s="3" t="s">
        <v>27</v>
      </c>
      <c r="D3" s="3">
        <v>4</v>
      </c>
      <c r="E3" s="3">
        <v>3</v>
      </c>
      <c r="F3" s="3">
        <v>2</v>
      </c>
      <c r="G3" s="3">
        <v>1</v>
      </c>
      <c r="H3" s="3">
        <v>5</v>
      </c>
      <c r="I3" s="3">
        <v>6</v>
      </c>
      <c r="J3" s="3">
        <v>7</v>
      </c>
      <c r="K3" s="3" t="s">
        <v>40</v>
      </c>
      <c r="L3" s="3" t="s">
        <v>41</v>
      </c>
      <c r="M3" s="3" t="s">
        <v>29</v>
      </c>
      <c r="N3" s="3" t="s">
        <v>30</v>
      </c>
      <c r="O3" s="3" t="s">
        <v>42</v>
      </c>
      <c r="P3" s="3">
        <f t="shared" ref="P3:P41" si="0">IF(O3="Less than 1 year",0.5,IF(O3="1-3 years",2,IF(O3="3-5 years",4,IF(O3="More than 5 years",6))))</f>
        <v>6</v>
      </c>
      <c r="Q3" s="3" t="s">
        <v>43</v>
      </c>
      <c r="R3" s="3" t="s">
        <v>33</v>
      </c>
      <c r="S3" s="3">
        <f t="shared" ref="S3:S41" si="1">IF(R3="10%-20%",15,IF(R3="20%-30%",25,IF(R3="30%-40%",35,NA())))</f>
        <v>25</v>
      </c>
      <c r="T3" s="3" t="s">
        <v>34</v>
      </c>
      <c r="U3" s="3" t="s">
        <v>44</v>
      </c>
      <c r="V3" s="3" t="s">
        <v>45</v>
      </c>
      <c r="W3" s="3" t="s">
        <v>36</v>
      </c>
      <c r="X3" s="3" t="s">
        <v>37</v>
      </c>
      <c r="Y3" s="3" t="s">
        <v>46</v>
      </c>
      <c r="Z3" s="3" t="s">
        <v>47</v>
      </c>
    </row>
    <row r="4" spans="1:26" x14ac:dyDescent="0.3">
      <c r="A4" s="3" t="s">
        <v>48</v>
      </c>
      <c r="B4" s="3">
        <v>30</v>
      </c>
      <c r="C4" s="3" t="s">
        <v>27</v>
      </c>
      <c r="D4" s="3">
        <v>3</v>
      </c>
      <c r="E4" s="3">
        <v>6</v>
      </c>
      <c r="F4" s="3">
        <v>4</v>
      </c>
      <c r="G4" s="3">
        <v>2</v>
      </c>
      <c r="H4" s="3">
        <v>5</v>
      </c>
      <c r="I4" s="3">
        <v>1</v>
      </c>
      <c r="J4" s="3">
        <v>7</v>
      </c>
      <c r="K4" s="3" t="s">
        <v>27</v>
      </c>
      <c r="L4" s="3" t="s">
        <v>28</v>
      </c>
      <c r="M4" s="3" t="s">
        <v>29</v>
      </c>
      <c r="N4" s="3" t="s">
        <v>30</v>
      </c>
      <c r="O4" s="3" t="s">
        <v>49</v>
      </c>
      <c r="P4" s="3">
        <f t="shared" si="0"/>
        <v>4</v>
      </c>
      <c r="Q4" s="3" t="s">
        <v>50</v>
      </c>
      <c r="R4" s="3" t="s">
        <v>33</v>
      </c>
      <c r="S4" s="3">
        <f t="shared" si="1"/>
        <v>25</v>
      </c>
      <c r="T4" s="3" t="s">
        <v>51</v>
      </c>
      <c r="U4" s="3" t="s">
        <v>35</v>
      </c>
      <c r="V4" s="3" t="s">
        <v>29</v>
      </c>
      <c r="W4" s="3" t="s">
        <v>52</v>
      </c>
      <c r="X4" s="3" t="s">
        <v>53</v>
      </c>
      <c r="Y4" s="3" t="s">
        <v>38</v>
      </c>
      <c r="Z4" s="3" t="s">
        <v>54</v>
      </c>
    </row>
    <row r="5" spans="1:26" x14ac:dyDescent="0.3">
      <c r="A5" s="3" t="s">
        <v>48</v>
      </c>
      <c r="B5" s="3">
        <v>22</v>
      </c>
      <c r="C5" s="3" t="s">
        <v>27</v>
      </c>
      <c r="D5" s="3">
        <v>2</v>
      </c>
      <c r="E5" s="3">
        <v>1</v>
      </c>
      <c r="F5" s="3">
        <v>3</v>
      </c>
      <c r="G5" s="3">
        <v>7</v>
      </c>
      <c r="H5" s="3">
        <v>6</v>
      </c>
      <c r="I5" s="3">
        <v>4</v>
      </c>
      <c r="J5" s="3">
        <v>5</v>
      </c>
      <c r="K5" s="3" t="s">
        <v>27</v>
      </c>
      <c r="L5" s="3" t="s">
        <v>28</v>
      </c>
      <c r="M5" s="3" t="s">
        <v>55</v>
      </c>
      <c r="N5" s="3" t="s">
        <v>30</v>
      </c>
      <c r="O5" s="3" t="s">
        <v>56</v>
      </c>
      <c r="P5" s="3">
        <f t="shared" si="0"/>
        <v>0.5</v>
      </c>
      <c r="Q5" s="3" t="s">
        <v>50</v>
      </c>
      <c r="R5" s="3" t="s">
        <v>57</v>
      </c>
      <c r="S5" s="3">
        <f t="shared" si="1"/>
        <v>15</v>
      </c>
      <c r="T5" s="3" t="s">
        <v>51</v>
      </c>
      <c r="U5" s="3" t="s">
        <v>35</v>
      </c>
      <c r="V5" s="3" t="s">
        <v>45</v>
      </c>
      <c r="W5" s="3" t="s">
        <v>58</v>
      </c>
      <c r="X5" s="3" t="s">
        <v>59</v>
      </c>
      <c r="Y5" s="3" t="s">
        <v>46</v>
      </c>
      <c r="Z5" s="3" t="s">
        <v>60</v>
      </c>
    </row>
    <row r="6" spans="1:26" x14ac:dyDescent="0.3">
      <c r="A6" s="3" t="s">
        <v>26</v>
      </c>
      <c r="B6" s="3">
        <v>24</v>
      </c>
      <c r="C6" s="3" t="s">
        <v>40</v>
      </c>
      <c r="D6" s="3">
        <v>2</v>
      </c>
      <c r="E6" s="3">
        <v>1</v>
      </c>
      <c r="F6" s="3">
        <v>3</v>
      </c>
      <c r="G6" s="3">
        <v>6</v>
      </c>
      <c r="H6" s="3">
        <v>4</v>
      </c>
      <c r="I6" s="3">
        <v>5</v>
      </c>
      <c r="J6" s="3">
        <v>7</v>
      </c>
      <c r="K6" s="3" t="s">
        <v>40</v>
      </c>
      <c r="L6" s="3" t="s">
        <v>28</v>
      </c>
      <c r="M6" s="3" t="s">
        <v>55</v>
      </c>
      <c r="N6" s="3" t="s">
        <v>30</v>
      </c>
      <c r="O6" s="3" t="s">
        <v>56</v>
      </c>
      <c r="P6" s="3">
        <f t="shared" si="0"/>
        <v>0.5</v>
      </c>
      <c r="Q6" s="3" t="s">
        <v>50</v>
      </c>
      <c r="R6" s="3" t="s">
        <v>33</v>
      </c>
      <c r="S6" s="3">
        <f t="shared" si="1"/>
        <v>25</v>
      </c>
      <c r="T6" s="3" t="s">
        <v>51</v>
      </c>
      <c r="U6" s="3" t="s">
        <v>35</v>
      </c>
      <c r="V6" s="3" t="s">
        <v>29</v>
      </c>
      <c r="W6" s="3" t="s">
        <v>36</v>
      </c>
      <c r="X6" s="3" t="s">
        <v>37</v>
      </c>
      <c r="Y6" s="3" t="s">
        <v>61</v>
      </c>
      <c r="Z6" s="3" t="s">
        <v>60</v>
      </c>
    </row>
    <row r="7" spans="1:26" x14ac:dyDescent="0.3">
      <c r="A7" s="3" t="s">
        <v>26</v>
      </c>
      <c r="B7" s="3">
        <v>24</v>
      </c>
      <c r="C7" s="3" t="s">
        <v>40</v>
      </c>
      <c r="D7" s="3">
        <v>7</v>
      </c>
      <c r="E7" s="3">
        <v>5</v>
      </c>
      <c r="F7" s="3">
        <v>4</v>
      </c>
      <c r="G7" s="3">
        <v>6</v>
      </c>
      <c r="H7" s="3">
        <v>3</v>
      </c>
      <c r="I7" s="3">
        <v>1</v>
      </c>
      <c r="J7" s="3">
        <v>2</v>
      </c>
      <c r="K7" s="3" t="s">
        <v>40</v>
      </c>
      <c r="L7" s="3" t="s">
        <v>62</v>
      </c>
      <c r="M7" s="3" t="s">
        <v>29</v>
      </c>
      <c r="N7" s="3" t="s">
        <v>30</v>
      </c>
      <c r="O7" s="3" t="s">
        <v>31</v>
      </c>
      <c r="P7" s="3">
        <f t="shared" si="0"/>
        <v>2</v>
      </c>
      <c r="Q7" s="3" t="s">
        <v>50</v>
      </c>
      <c r="R7" s="3" t="s">
        <v>63</v>
      </c>
      <c r="S7" s="3">
        <f t="shared" si="1"/>
        <v>35</v>
      </c>
      <c r="T7" s="3" t="s">
        <v>34</v>
      </c>
      <c r="U7" s="3" t="s">
        <v>35</v>
      </c>
      <c r="V7" s="3" t="s">
        <v>64</v>
      </c>
      <c r="W7" s="3" t="s">
        <v>58</v>
      </c>
      <c r="X7" s="3" t="s">
        <v>37</v>
      </c>
      <c r="Y7" s="3" t="s">
        <v>61</v>
      </c>
      <c r="Z7" s="3" t="s">
        <v>60</v>
      </c>
    </row>
    <row r="8" spans="1:26" x14ac:dyDescent="0.3">
      <c r="A8" s="3" t="s">
        <v>26</v>
      </c>
      <c r="B8" s="3">
        <v>27</v>
      </c>
      <c r="C8" s="3" t="s">
        <v>27</v>
      </c>
      <c r="D8" s="3">
        <v>3</v>
      </c>
      <c r="E8" s="3">
        <v>6</v>
      </c>
      <c r="F8" s="3">
        <v>4</v>
      </c>
      <c r="G8" s="3">
        <v>2</v>
      </c>
      <c r="H8" s="3">
        <v>5</v>
      </c>
      <c r="I8" s="3">
        <v>1</v>
      </c>
      <c r="J8" s="3">
        <v>7</v>
      </c>
      <c r="K8" s="3" t="s">
        <v>27</v>
      </c>
      <c r="L8" s="3" t="s">
        <v>28</v>
      </c>
      <c r="M8" s="3" t="s">
        <v>29</v>
      </c>
      <c r="N8" s="3" t="s">
        <v>30</v>
      </c>
      <c r="O8" s="3" t="s">
        <v>49</v>
      </c>
      <c r="P8" s="3">
        <f t="shared" si="0"/>
        <v>4</v>
      </c>
      <c r="Q8" s="3" t="s">
        <v>32</v>
      </c>
      <c r="R8" s="3" t="s">
        <v>33</v>
      </c>
      <c r="S8" s="3">
        <f t="shared" si="1"/>
        <v>25</v>
      </c>
      <c r="T8" s="3" t="s">
        <v>51</v>
      </c>
      <c r="U8" s="3" t="s">
        <v>35</v>
      </c>
      <c r="V8" s="3" t="s">
        <v>29</v>
      </c>
      <c r="W8" s="3" t="s">
        <v>36</v>
      </c>
      <c r="X8" s="3" t="s">
        <v>53</v>
      </c>
      <c r="Y8" s="3" t="s">
        <v>46</v>
      </c>
      <c r="Z8" s="3" t="s">
        <v>47</v>
      </c>
    </row>
    <row r="9" spans="1:26" x14ac:dyDescent="0.3">
      <c r="A9" s="3" t="s">
        <v>48</v>
      </c>
      <c r="B9" s="3">
        <v>21</v>
      </c>
      <c r="C9" s="3" t="s">
        <v>27</v>
      </c>
      <c r="D9" s="3">
        <v>2</v>
      </c>
      <c r="E9" s="3">
        <v>3</v>
      </c>
      <c r="F9" s="3">
        <v>7</v>
      </c>
      <c r="G9" s="3">
        <v>4</v>
      </c>
      <c r="H9" s="3">
        <v>6</v>
      </c>
      <c r="I9" s="3">
        <v>1</v>
      </c>
      <c r="J9" s="3">
        <v>5</v>
      </c>
      <c r="K9" s="3" t="s">
        <v>27</v>
      </c>
      <c r="L9" s="3" t="s">
        <v>62</v>
      </c>
      <c r="M9" s="3" t="s">
        <v>29</v>
      </c>
      <c r="N9" s="3" t="s">
        <v>30</v>
      </c>
      <c r="O9" s="3" t="s">
        <v>49</v>
      </c>
      <c r="P9" s="3">
        <f t="shared" si="0"/>
        <v>4</v>
      </c>
      <c r="Q9" s="3" t="s">
        <v>32</v>
      </c>
      <c r="R9" s="3" t="s">
        <v>33</v>
      </c>
      <c r="S9" s="3">
        <f t="shared" si="1"/>
        <v>25</v>
      </c>
      <c r="T9" s="3" t="s">
        <v>34</v>
      </c>
      <c r="U9" s="3" t="s">
        <v>35</v>
      </c>
      <c r="V9" s="3" t="s">
        <v>29</v>
      </c>
      <c r="W9" s="3" t="s">
        <v>36</v>
      </c>
      <c r="X9" s="3" t="s">
        <v>53</v>
      </c>
      <c r="Y9" s="3" t="s">
        <v>61</v>
      </c>
      <c r="Z9" s="3" t="s">
        <v>39</v>
      </c>
    </row>
    <row r="10" spans="1:26" x14ac:dyDescent="0.3">
      <c r="A10" s="3" t="s">
        <v>48</v>
      </c>
      <c r="B10" s="3">
        <v>35</v>
      </c>
      <c r="C10" s="3" t="s">
        <v>27</v>
      </c>
      <c r="D10" s="3">
        <v>2</v>
      </c>
      <c r="E10" s="3">
        <v>4</v>
      </c>
      <c r="F10" s="3">
        <v>7</v>
      </c>
      <c r="G10" s="3">
        <v>5</v>
      </c>
      <c r="H10" s="3">
        <v>3</v>
      </c>
      <c r="I10" s="3">
        <v>1</v>
      </c>
      <c r="J10" s="3">
        <v>6</v>
      </c>
      <c r="K10" s="3" t="s">
        <v>27</v>
      </c>
      <c r="L10" s="3" t="s">
        <v>28</v>
      </c>
      <c r="M10" s="3" t="s">
        <v>65</v>
      </c>
      <c r="N10" s="3" t="s">
        <v>66</v>
      </c>
      <c r="O10" s="3" t="s">
        <v>31</v>
      </c>
      <c r="P10" s="3">
        <f t="shared" si="0"/>
        <v>2</v>
      </c>
      <c r="Q10" s="3" t="s">
        <v>43</v>
      </c>
      <c r="R10" s="3" t="s">
        <v>33</v>
      </c>
      <c r="S10" s="3">
        <f t="shared" si="1"/>
        <v>25</v>
      </c>
      <c r="T10" s="3" t="s">
        <v>51</v>
      </c>
      <c r="U10" s="3" t="s">
        <v>35</v>
      </c>
      <c r="V10" s="3" t="s">
        <v>29</v>
      </c>
      <c r="W10" s="3" t="s">
        <v>58</v>
      </c>
      <c r="X10" s="3" t="s">
        <v>37</v>
      </c>
      <c r="Y10" s="3" t="s">
        <v>38</v>
      </c>
      <c r="Z10" s="3" t="s">
        <v>54</v>
      </c>
    </row>
    <row r="11" spans="1:26" x14ac:dyDescent="0.3">
      <c r="A11" s="3" t="s">
        <v>48</v>
      </c>
      <c r="B11" s="3">
        <v>31</v>
      </c>
      <c r="C11" s="3" t="s">
        <v>27</v>
      </c>
      <c r="D11" s="3">
        <v>1</v>
      </c>
      <c r="E11" s="3">
        <v>3</v>
      </c>
      <c r="F11" s="3">
        <v>7</v>
      </c>
      <c r="G11" s="3">
        <v>4</v>
      </c>
      <c r="H11" s="3">
        <v>5</v>
      </c>
      <c r="I11" s="3">
        <v>2</v>
      </c>
      <c r="J11" s="3">
        <v>6</v>
      </c>
      <c r="K11" s="3" t="s">
        <v>27</v>
      </c>
      <c r="L11" s="3" t="s">
        <v>28</v>
      </c>
      <c r="M11" s="3" t="s">
        <v>29</v>
      </c>
      <c r="N11" s="3" t="s">
        <v>30</v>
      </c>
      <c r="O11" s="3" t="s">
        <v>49</v>
      </c>
      <c r="P11" s="3">
        <f t="shared" si="0"/>
        <v>4</v>
      </c>
      <c r="Q11" s="3" t="s">
        <v>32</v>
      </c>
      <c r="R11" s="3" t="s">
        <v>63</v>
      </c>
      <c r="S11" s="3">
        <f t="shared" si="1"/>
        <v>35</v>
      </c>
      <c r="T11" s="3" t="s">
        <v>67</v>
      </c>
      <c r="U11" s="3" t="s">
        <v>35</v>
      </c>
      <c r="V11" s="3" t="s">
        <v>29</v>
      </c>
      <c r="W11" s="3" t="s">
        <v>58</v>
      </c>
      <c r="X11" s="3" t="s">
        <v>53</v>
      </c>
      <c r="Y11" s="3" t="s">
        <v>38</v>
      </c>
      <c r="Z11" s="3" t="s">
        <v>39</v>
      </c>
    </row>
    <row r="12" spans="1:26" x14ac:dyDescent="0.3">
      <c r="A12" s="3" t="s">
        <v>26</v>
      </c>
      <c r="B12" s="3">
        <v>35</v>
      </c>
      <c r="C12" s="3" t="s">
        <v>27</v>
      </c>
      <c r="D12" s="3">
        <v>2</v>
      </c>
      <c r="E12" s="3">
        <v>4</v>
      </c>
      <c r="F12" s="3">
        <v>7</v>
      </c>
      <c r="G12" s="3">
        <v>5</v>
      </c>
      <c r="H12" s="3">
        <v>3</v>
      </c>
      <c r="I12" s="3">
        <v>1</v>
      </c>
      <c r="J12" s="3">
        <v>6</v>
      </c>
      <c r="K12" s="3" t="s">
        <v>27</v>
      </c>
      <c r="L12" s="3" t="s">
        <v>62</v>
      </c>
      <c r="M12" s="3" t="s">
        <v>65</v>
      </c>
      <c r="N12" s="3" t="s">
        <v>66</v>
      </c>
      <c r="O12" s="3" t="s">
        <v>49</v>
      </c>
      <c r="P12" s="3">
        <f t="shared" si="0"/>
        <v>4</v>
      </c>
      <c r="Q12" s="3" t="s">
        <v>32</v>
      </c>
      <c r="R12" s="3" t="s">
        <v>33</v>
      </c>
      <c r="S12" s="3">
        <f t="shared" si="1"/>
        <v>25</v>
      </c>
      <c r="T12" s="3" t="s">
        <v>34</v>
      </c>
      <c r="U12" s="3" t="s">
        <v>35</v>
      </c>
      <c r="V12" s="3" t="s">
        <v>29</v>
      </c>
      <c r="W12" s="3" t="s">
        <v>36</v>
      </c>
      <c r="X12" s="3" t="s">
        <v>53</v>
      </c>
      <c r="Y12" s="3" t="s">
        <v>61</v>
      </c>
      <c r="Z12" s="3" t="s">
        <v>47</v>
      </c>
    </row>
    <row r="13" spans="1:26" x14ac:dyDescent="0.3">
      <c r="A13" s="3" t="s">
        <v>48</v>
      </c>
      <c r="B13" s="3">
        <v>29</v>
      </c>
      <c r="C13" s="3" t="s">
        <v>27</v>
      </c>
      <c r="D13" s="3">
        <v>2</v>
      </c>
      <c r="E13" s="3">
        <v>5</v>
      </c>
      <c r="F13" s="3">
        <v>7</v>
      </c>
      <c r="G13" s="3">
        <v>6</v>
      </c>
      <c r="H13" s="3">
        <v>3</v>
      </c>
      <c r="I13" s="3">
        <v>1</v>
      </c>
      <c r="J13" s="3">
        <v>4</v>
      </c>
      <c r="K13" s="3" t="s">
        <v>27</v>
      </c>
      <c r="L13" s="3" t="s">
        <v>62</v>
      </c>
      <c r="M13" s="3" t="s">
        <v>29</v>
      </c>
      <c r="N13" s="3" t="s">
        <v>30</v>
      </c>
      <c r="O13" s="3" t="s">
        <v>31</v>
      </c>
      <c r="P13" s="3">
        <f t="shared" si="0"/>
        <v>2</v>
      </c>
      <c r="Q13" s="3" t="s">
        <v>32</v>
      </c>
      <c r="R13" s="3" t="s">
        <v>33</v>
      </c>
      <c r="S13" s="3">
        <f t="shared" si="1"/>
        <v>25</v>
      </c>
      <c r="T13" s="3" t="s">
        <v>34</v>
      </c>
      <c r="U13" s="3" t="s">
        <v>35</v>
      </c>
      <c r="V13" s="3" t="s">
        <v>29</v>
      </c>
      <c r="W13" s="3" t="s">
        <v>58</v>
      </c>
      <c r="X13" s="3" t="s">
        <v>53</v>
      </c>
      <c r="Y13" s="3" t="s">
        <v>38</v>
      </c>
      <c r="Z13" s="3" t="s">
        <v>47</v>
      </c>
    </row>
    <row r="14" spans="1:26" x14ac:dyDescent="0.3">
      <c r="A14" s="3" t="s">
        <v>26</v>
      </c>
      <c r="B14" s="3">
        <v>21</v>
      </c>
      <c r="C14" s="3" t="s">
        <v>40</v>
      </c>
      <c r="D14" s="3">
        <v>1</v>
      </c>
      <c r="E14" s="3">
        <v>2</v>
      </c>
      <c r="F14" s="3">
        <v>3</v>
      </c>
      <c r="G14" s="3">
        <v>4</v>
      </c>
      <c r="H14" s="3">
        <v>5</v>
      </c>
      <c r="I14" s="3">
        <v>6</v>
      </c>
      <c r="J14" s="3">
        <v>7</v>
      </c>
      <c r="K14" s="3" t="s">
        <v>40</v>
      </c>
      <c r="L14" s="3" t="s">
        <v>28</v>
      </c>
      <c r="M14" s="3" t="s">
        <v>29</v>
      </c>
      <c r="N14" s="3" t="s">
        <v>66</v>
      </c>
      <c r="O14" s="3" t="s">
        <v>31</v>
      </c>
      <c r="P14" s="3">
        <f t="shared" si="0"/>
        <v>2</v>
      </c>
      <c r="Q14" s="3" t="s">
        <v>43</v>
      </c>
      <c r="R14" s="3" t="s">
        <v>33</v>
      </c>
      <c r="S14" s="3">
        <f t="shared" si="1"/>
        <v>25</v>
      </c>
      <c r="T14" s="3" t="s">
        <v>34</v>
      </c>
      <c r="U14" s="3" t="s">
        <v>68</v>
      </c>
      <c r="V14" s="3" t="s">
        <v>45</v>
      </c>
      <c r="W14" s="3" t="s">
        <v>36</v>
      </c>
      <c r="X14" s="3" t="s">
        <v>37</v>
      </c>
      <c r="Y14" s="3" t="s">
        <v>61</v>
      </c>
      <c r="Z14" s="3" t="s">
        <v>60</v>
      </c>
    </row>
    <row r="15" spans="1:26" x14ac:dyDescent="0.3">
      <c r="A15" s="3" t="s">
        <v>26</v>
      </c>
      <c r="B15" s="3">
        <v>28</v>
      </c>
      <c r="C15" s="3" t="s">
        <v>27</v>
      </c>
      <c r="D15" s="3">
        <v>2</v>
      </c>
      <c r="E15" s="3">
        <v>3</v>
      </c>
      <c r="F15" s="3">
        <v>7</v>
      </c>
      <c r="G15" s="3">
        <v>4</v>
      </c>
      <c r="H15" s="3">
        <v>5</v>
      </c>
      <c r="I15" s="3">
        <v>1</v>
      </c>
      <c r="J15" s="3">
        <v>6</v>
      </c>
      <c r="K15" s="3" t="s">
        <v>27</v>
      </c>
      <c r="L15" s="3" t="s">
        <v>28</v>
      </c>
      <c r="M15" s="3" t="s">
        <v>29</v>
      </c>
      <c r="N15" s="3" t="s">
        <v>30</v>
      </c>
      <c r="O15" s="3" t="s">
        <v>31</v>
      </c>
      <c r="P15" s="3">
        <f t="shared" si="0"/>
        <v>2</v>
      </c>
      <c r="Q15" s="3" t="s">
        <v>32</v>
      </c>
      <c r="R15" s="3" t="s">
        <v>33</v>
      </c>
      <c r="S15" s="3">
        <f t="shared" si="1"/>
        <v>25</v>
      </c>
      <c r="T15" s="3" t="s">
        <v>34</v>
      </c>
      <c r="U15" s="3" t="s">
        <v>35</v>
      </c>
      <c r="V15" s="3" t="s">
        <v>29</v>
      </c>
      <c r="W15" s="3" t="s">
        <v>58</v>
      </c>
      <c r="X15" s="3" t="s">
        <v>53</v>
      </c>
      <c r="Y15" s="3" t="s">
        <v>61</v>
      </c>
      <c r="Z15" s="3" t="s">
        <v>39</v>
      </c>
    </row>
    <row r="16" spans="1:26" x14ac:dyDescent="0.3">
      <c r="A16" s="3" t="s">
        <v>26</v>
      </c>
      <c r="B16" s="3">
        <v>25</v>
      </c>
      <c r="C16" s="3" t="s">
        <v>27</v>
      </c>
      <c r="D16" s="3">
        <v>2</v>
      </c>
      <c r="E16" s="3">
        <v>3</v>
      </c>
      <c r="F16" s="3">
        <v>7</v>
      </c>
      <c r="G16" s="3">
        <v>5</v>
      </c>
      <c r="H16" s="3">
        <v>4</v>
      </c>
      <c r="I16" s="3">
        <v>1</v>
      </c>
      <c r="J16" s="3">
        <v>6</v>
      </c>
      <c r="K16" s="3" t="s">
        <v>27</v>
      </c>
      <c r="L16" s="3" t="s">
        <v>28</v>
      </c>
      <c r="M16" s="3" t="s">
        <v>29</v>
      </c>
      <c r="N16" s="3" t="s">
        <v>30</v>
      </c>
      <c r="O16" s="3" t="s">
        <v>31</v>
      </c>
      <c r="P16" s="3">
        <f t="shared" si="0"/>
        <v>2</v>
      </c>
      <c r="Q16" s="3" t="s">
        <v>32</v>
      </c>
      <c r="R16" s="3" t="s">
        <v>33</v>
      </c>
      <c r="S16" s="3">
        <f t="shared" si="1"/>
        <v>25</v>
      </c>
      <c r="T16" s="3" t="s">
        <v>67</v>
      </c>
      <c r="U16" s="3" t="s">
        <v>44</v>
      </c>
      <c r="V16" s="3" t="s">
        <v>45</v>
      </c>
      <c r="W16" s="3" t="s">
        <v>36</v>
      </c>
      <c r="X16" s="3" t="s">
        <v>53</v>
      </c>
      <c r="Y16" s="3" t="s">
        <v>61</v>
      </c>
      <c r="Z16" s="3" t="s">
        <v>47</v>
      </c>
    </row>
    <row r="17" spans="1:26" x14ac:dyDescent="0.3">
      <c r="A17" s="3" t="s">
        <v>48</v>
      </c>
      <c r="B17" s="3">
        <v>27</v>
      </c>
      <c r="C17" s="3" t="s">
        <v>27</v>
      </c>
      <c r="D17" s="3">
        <v>2</v>
      </c>
      <c r="E17" s="3">
        <v>3</v>
      </c>
      <c r="F17" s="3">
        <v>7</v>
      </c>
      <c r="G17" s="3">
        <v>5</v>
      </c>
      <c r="H17" s="3">
        <v>4</v>
      </c>
      <c r="I17" s="3">
        <v>1</v>
      </c>
      <c r="J17" s="3">
        <v>6</v>
      </c>
      <c r="K17" s="3" t="s">
        <v>27</v>
      </c>
      <c r="L17" s="3" t="s">
        <v>28</v>
      </c>
      <c r="M17" s="3" t="s">
        <v>29</v>
      </c>
      <c r="N17" s="3" t="s">
        <v>30</v>
      </c>
      <c r="O17" s="3" t="s">
        <v>31</v>
      </c>
      <c r="P17" s="3">
        <f t="shared" si="0"/>
        <v>2</v>
      </c>
      <c r="Q17" s="3" t="s">
        <v>32</v>
      </c>
      <c r="R17" s="3" t="s">
        <v>33</v>
      </c>
      <c r="S17" s="3">
        <f t="shared" si="1"/>
        <v>25</v>
      </c>
      <c r="T17" s="3" t="s">
        <v>34</v>
      </c>
      <c r="U17" s="3" t="s">
        <v>44</v>
      </c>
      <c r="V17" s="3" t="s">
        <v>29</v>
      </c>
      <c r="W17" s="3" t="s">
        <v>58</v>
      </c>
      <c r="X17" s="3" t="s">
        <v>53</v>
      </c>
      <c r="Y17" s="3" t="s">
        <v>61</v>
      </c>
      <c r="Z17" s="3" t="s">
        <v>39</v>
      </c>
    </row>
    <row r="18" spans="1:26" x14ac:dyDescent="0.3">
      <c r="A18" s="3" t="s">
        <v>26</v>
      </c>
      <c r="B18" s="3">
        <v>28</v>
      </c>
      <c r="C18" s="3" t="s">
        <v>27</v>
      </c>
      <c r="D18" s="3">
        <v>3</v>
      </c>
      <c r="E18" s="3">
        <v>2</v>
      </c>
      <c r="F18" s="3">
        <v>7</v>
      </c>
      <c r="G18" s="3">
        <v>5</v>
      </c>
      <c r="H18" s="3">
        <v>4</v>
      </c>
      <c r="I18" s="3">
        <v>1</v>
      </c>
      <c r="J18" s="3">
        <v>6</v>
      </c>
      <c r="K18" s="3" t="s">
        <v>27</v>
      </c>
      <c r="L18" s="3" t="s">
        <v>62</v>
      </c>
      <c r="M18" s="3" t="s">
        <v>65</v>
      </c>
      <c r="N18" s="3" t="s">
        <v>30</v>
      </c>
      <c r="O18" s="3" t="s">
        <v>31</v>
      </c>
      <c r="P18" s="3">
        <f t="shared" si="0"/>
        <v>2</v>
      </c>
      <c r="Q18" s="3" t="s">
        <v>32</v>
      </c>
      <c r="R18" s="3" t="s">
        <v>33</v>
      </c>
      <c r="S18" s="3">
        <f t="shared" si="1"/>
        <v>25</v>
      </c>
      <c r="T18" s="3" t="s">
        <v>67</v>
      </c>
      <c r="U18" s="3" t="s">
        <v>44</v>
      </c>
      <c r="V18" s="3" t="s">
        <v>29</v>
      </c>
      <c r="W18" s="3" t="s">
        <v>58</v>
      </c>
      <c r="X18" s="3" t="s">
        <v>53</v>
      </c>
      <c r="Y18" s="3" t="s">
        <v>61</v>
      </c>
      <c r="Z18" s="3" t="s">
        <v>54</v>
      </c>
    </row>
    <row r="19" spans="1:26" x14ac:dyDescent="0.3">
      <c r="A19" s="3" t="s">
        <v>48</v>
      </c>
      <c r="B19" s="3">
        <v>27</v>
      </c>
      <c r="C19" s="3" t="s">
        <v>27</v>
      </c>
      <c r="D19" s="3">
        <v>3</v>
      </c>
      <c r="E19" s="3">
        <v>2</v>
      </c>
      <c r="F19" s="3">
        <v>7</v>
      </c>
      <c r="G19" s="3">
        <v>4</v>
      </c>
      <c r="H19" s="3">
        <v>5</v>
      </c>
      <c r="I19" s="3">
        <v>1</v>
      </c>
      <c r="J19" s="3">
        <v>6</v>
      </c>
      <c r="K19" s="3" t="s">
        <v>27</v>
      </c>
      <c r="L19" s="3" t="s">
        <v>28</v>
      </c>
      <c r="M19" s="3" t="s">
        <v>29</v>
      </c>
      <c r="N19" s="3" t="s">
        <v>30</v>
      </c>
      <c r="O19" s="3" t="s">
        <v>31</v>
      </c>
      <c r="P19" s="3">
        <f t="shared" si="0"/>
        <v>2</v>
      </c>
      <c r="Q19" s="3" t="s">
        <v>32</v>
      </c>
      <c r="R19" s="3" t="s">
        <v>33</v>
      </c>
      <c r="S19" s="3">
        <f t="shared" si="1"/>
        <v>25</v>
      </c>
      <c r="T19" s="3" t="s">
        <v>34</v>
      </c>
      <c r="U19" s="3" t="s">
        <v>35</v>
      </c>
      <c r="V19" s="3" t="s">
        <v>29</v>
      </c>
      <c r="W19" s="3" t="s">
        <v>36</v>
      </c>
      <c r="X19" s="3" t="s">
        <v>53</v>
      </c>
      <c r="Y19" s="3" t="s">
        <v>61</v>
      </c>
      <c r="Z19" s="3" t="s">
        <v>47</v>
      </c>
    </row>
    <row r="20" spans="1:26" x14ac:dyDescent="0.3">
      <c r="A20" s="3" t="s">
        <v>48</v>
      </c>
      <c r="B20" s="3">
        <v>29</v>
      </c>
      <c r="C20" s="3" t="s">
        <v>27</v>
      </c>
      <c r="D20" s="3">
        <v>3</v>
      </c>
      <c r="E20" s="3">
        <v>2</v>
      </c>
      <c r="F20" s="3">
        <v>7</v>
      </c>
      <c r="G20" s="3">
        <v>4</v>
      </c>
      <c r="H20" s="3">
        <v>5</v>
      </c>
      <c r="I20" s="3">
        <v>1</v>
      </c>
      <c r="J20" s="3">
        <v>6</v>
      </c>
      <c r="K20" s="3" t="s">
        <v>27</v>
      </c>
      <c r="L20" s="3" t="s">
        <v>62</v>
      </c>
      <c r="M20" s="3" t="s">
        <v>29</v>
      </c>
      <c r="N20" s="3" t="s">
        <v>30</v>
      </c>
      <c r="O20" s="3" t="s">
        <v>31</v>
      </c>
      <c r="P20" s="3">
        <f t="shared" si="0"/>
        <v>2</v>
      </c>
      <c r="Q20" s="3" t="s">
        <v>32</v>
      </c>
      <c r="R20" s="3" t="s">
        <v>33</v>
      </c>
      <c r="S20" s="3">
        <f t="shared" si="1"/>
        <v>25</v>
      </c>
      <c r="T20" s="3" t="s">
        <v>34</v>
      </c>
      <c r="U20" s="3" t="s">
        <v>35</v>
      </c>
      <c r="V20" s="3" t="s">
        <v>29</v>
      </c>
      <c r="W20" s="3" t="s">
        <v>36</v>
      </c>
      <c r="X20" s="3" t="s">
        <v>53</v>
      </c>
      <c r="Y20" s="3" t="s">
        <v>61</v>
      </c>
      <c r="Z20" s="3" t="s">
        <v>39</v>
      </c>
    </row>
    <row r="21" spans="1:26" x14ac:dyDescent="0.3">
      <c r="A21" s="3" t="s">
        <v>48</v>
      </c>
      <c r="B21" s="3">
        <v>26</v>
      </c>
      <c r="C21" s="3" t="s">
        <v>27</v>
      </c>
      <c r="D21" s="3">
        <v>3</v>
      </c>
      <c r="E21" s="3">
        <v>4</v>
      </c>
      <c r="F21" s="3">
        <v>6</v>
      </c>
      <c r="G21" s="3">
        <v>5</v>
      </c>
      <c r="H21" s="3">
        <v>1</v>
      </c>
      <c r="I21" s="3">
        <v>2</v>
      </c>
      <c r="J21" s="3">
        <v>7</v>
      </c>
      <c r="K21" s="3" t="s">
        <v>27</v>
      </c>
      <c r="L21" s="3" t="s">
        <v>62</v>
      </c>
      <c r="M21" s="3" t="s">
        <v>29</v>
      </c>
      <c r="N21" s="3" t="s">
        <v>30</v>
      </c>
      <c r="O21" s="3" t="s">
        <v>49</v>
      </c>
      <c r="P21" s="3">
        <f t="shared" si="0"/>
        <v>4</v>
      </c>
      <c r="Q21" s="3" t="s">
        <v>32</v>
      </c>
      <c r="R21" s="3" t="s">
        <v>33</v>
      </c>
      <c r="S21" s="3">
        <f t="shared" si="1"/>
        <v>25</v>
      </c>
      <c r="T21" s="3" t="s">
        <v>67</v>
      </c>
      <c r="U21" s="3" t="s">
        <v>44</v>
      </c>
      <c r="V21" s="3" t="s">
        <v>29</v>
      </c>
      <c r="W21" s="3" t="s">
        <v>58</v>
      </c>
      <c r="X21" s="3" t="s">
        <v>53</v>
      </c>
      <c r="Y21" s="3" t="s">
        <v>61</v>
      </c>
      <c r="Z21" s="3" t="s">
        <v>39</v>
      </c>
    </row>
    <row r="22" spans="1:26" x14ac:dyDescent="0.3">
      <c r="A22" s="3" t="s">
        <v>48</v>
      </c>
      <c r="B22" s="3">
        <v>29</v>
      </c>
      <c r="C22" s="3" t="s">
        <v>27</v>
      </c>
      <c r="D22" s="3">
        <v>2</v>
      </c>
      <c r="E22" s="3">
        <v>4</v>
      </c>
      <c r="F22" s="3">
        <v>7</v>
      </c>
      <c r="G22" s="3">
        <v>5</v>
      </c>
      <c r="H22" s="3">
        <v>3</v>
      </c>
      <c r="I22" s="3">
        <v>1</v>
      </c>
      <c r="J22" s="3">
        <v>6</v>
      </c>
      <c r="K22" s="3" t="s">
        <v>27</v>
      </c>
      <c r="L22" s="3" t="s">
        <v>28</v>
      </c>
      <c r="M22" s="3" t="s">
        <v>65</v>
      </c>
      <c r="N22" s="3" t="s">
        <v>30</v>
      </c>
      <c r="O22" s="3" t="s">
        <v>49</v>
      </c>
      <c r="P22" s="3">
        <f t="shared" si="0"/>
        <v>4</v>
      </c>
      <c r="Q22" s="3" t="s">
        <v>43</v>
      </c>
      <c r="R22" s="3" t="s">
        <v>33</v>
      </c>
      <c r="S22" s="3">
        <f t="shared" si="1"/>
        <v>25</v>
      </c>
      <c r="T22" s="3" t="s">
        <v>34</v>
      </c>
      <c r="U22" s="3" t="s">
        <v>35</v>
      </c>
      <c r="V22" s="3" t="s">
        <v>29</v>
      </c>
      <c r="W22" s="3" t="s">
        <v>36</v>
      </c>
      <c r="X22" s="3" t="s">
        <v>53</v>
      </c>
      <c r="Y22" s="3" t="s">
        <v>38</v>
      </c>
      <c r="Z22" s="3" t="s">
        <v>47</v>
      </c>
    </row>
    <row r="23" spans="1:26" x14ac:dyDescent="0.3">
      <c r="A23" s="3" t="s">
        <v>26</v>
      </c>
      <c r="B23" s="3">
        <v>24</v>
      </c>
      <c r="C23" s="3" t="s">
        <v>27</v>
      </c>
      <c r="D23" s="3">
        <v>2</v>
      </c>
      <c r="E23" s="3">
        <v>4</v>
      </c>
      <c r="F23" s="3">
        <v>5</v>
      </c>
      <c r="G23" s="3">
        <v>6</v>
      </c>
      <c r="H23" s="3">
        <v>3</v>
      </c>
      <c r="I23" s="3">
        <v>1</v>
      </c>
      <c r="J23" s="3">
        <v>7</v>
      </c>
      <c r="K23" s="3" t="s">
        <v>27</v>
      </c>
      <c r="L23" s="3" t="s">
        <v>62</v>
      </c>
      <c r="M23" s="3" t="s">
        <v>29</v>
      </c>
      <c r="N23" s="3" t="s">
        <v>30</v>
      </c>
      <c r="O23" s="3" t="s">
        <v>49</v>
      </c>
      <c r="P23" s="3">
        <f t="shared" si="0"/>
        <v>4</v>
      </c>
      <c r="Q23" s="3" t="s">
        <v>32</v>
      </c>
      <c r="R23" s="3" t="s">
        <v>33</v>
      </c>
      <c r="S23" s="3">
        <f t="shared" si="1"/>
        <v>25</v>
      </c>
      <c r="T23" s="3" t="s">
        <v>51</v>
      </c>
      <c r="U23" s="3" t="s">
        <v>44</v>
      </c>
      <c r="V23" s="3" t="s">
        <v>29</v>
      </c>
      <c r="W23" s="3" t="s">
        <v>36</v>
      </c>
      <c r="X23" s="3" t="s">
        <v>53</v>
      </c>
      <c r="Y23" s="3" t="s">
        <v>61</v>
      </c>
      <c r="Z23" s="3" t="s">
        <v>39</v>
      </c>
    </row>
    <row r="24" spans="1:26" x14ac:dyDescent="0.3">
      <c r="A24" s="3" t="s">
        <v>48</v>
      </c>
      <c r="B24" s="3">
        <v>27</v>
      </c>
      <c r="C24" s="3" t="s">
        <v>27</v>
      </c>
      <c r="D24" s="3">
        <v>3</v>
      </c>
      <c r="E24" s="3">
        <v>4</v>
      </c>
      <c r="F24" s="3">
        <v>6</v>
      </c>
      <c r="G24" s="3">
        <v>5</v>
      </c>
      <c r="H24" s="3">
        <v>2</v>
      </c>
      <c r="I24" s="3">
        <v>1</v>
      </c>
      <c r="J24" s="3">
        <v>7</v>
      </c>
      <c r="K24" s="3" t="s">
        <v>27</v>
      </c>
      <c r="L24" s="3" t="s">
        <v>28</v>
      </c>
      <c r="M24" s="3" t="s">
        <v>29</v>
      </c>
      <c r="N24" s="3" t="s">
        <v>30</v>
      </c>
      <c r="O24" s="3" t="s">
        <v>49</v>
      </c>
      <c r="P24" s="3">
        <f t="shared" si="0"/>
        <v>4</v>
      </c>
      <c r="Q24" s="3" t="s">
        <v>32</v>
      </c>
      <c r="R24" s="3" t="s">
        <v>33</v>
      </c>
      <c r="S24" s="3">
        <f t="shared" si="1"/>
        <v>25</v>
      </c>
      <c r="T24" s="3" t="s">
        <v>34</v>
      </c>
      <c r="U24" s="3" t="s">
        <v>35</v>
      </c>
      <c r="V24" s="3" t="s">
        <v>29</v>
      </c>
      <c r="W24" s="3" t="s">
        <v>36</v>
      </c>
      <c r="X24" s="3" t="s">
        <v>53</v>
      </c>
      <c r="Y24" s="3" t="s">
        <v>61</v>
      </c>
      <c r="Z24" s="3" t="s">
        <v>47</v>
      </c>
    </row>
    <row r="25" spans="1:26" x14ac:dyDescent="0.3">
      <c r="A25" s="3" t="s">
        <v>48</v>
      </c>
      <c r="B25" s="3">
        <v>25</v>
      </c>
      <c r="C25" s="3" t="s">
        <v>27</v>
      </c>
      <c r="D25" s="3">
        <v>2</v>
      </c>
      <c r="E25" s="3">
        <v>4</v>
      </c>
      <c r="F25" s="3">
        <v>6</v>
      </c>
      <c r="G25" s="3">
        <v>5</v>
      </c>
      <c r="H25" s="3">
        <v>3</v>
      </c>
      <c r="I25" s="3">
        <v>1</v>
      </c>
      <c r="J25" s="3">
        <v>7</v>
      </c>
      <c r="K25" s="3" t="s">
        <v>27</v>
      </c>
      <c r="L25" s="3" t="s">
        <v>62</v>
      </c>
      <c r="M25" s="3" t="s">
        <v>65</v>
      </c>
      <c r="N25" s="3" t="s">
        <v>66</v>
      </c>
      <c r="O25" s="3" t="s">
        <v>49</v>
      </c>
      <c r="P25" s="3">
        <f t="shared" si="0"/>
        <v>4</v>
      </c>
      <c r="Q25" s="3" t="s">
        <v>43</v>
      </c>
      <c r="R25" s="3" t="s">
        <v>33</v>
      </c>
      <c r="S25" s="3">
        <f t="shared" si="1"/>
        <v>25</v>
      </c>
      <c r="T25" s="3" t="s">
        <v>69</v>
      </c>
      <c r="U25" s="3" t="s">
        <v>44</v>
      </c>
      <c r="V25" s="3" t="s">
        <v>64</v>
      </c>
      <c r="W25" s="3" t="s">
        <v>36</v>
      </c>
      <c r="X25" s="3" t="s">
        <v>53</v>
      </c>
      <c r="Y25" s="3" t="s">
        <v>61</v>
      </c>
      <c r="Z25" s="3" t="s">
        <v>47</v>
      </c>
    </row>
    <row r="26" spans="1:26" x14ac:dyDescent="0.3">
      <c r="A26" s="3" t="s">
        <v>26</v>
      </c>
      <c r="B26" s="3">
        <v>26</v>
      </c>
      <c r="C26" s="3" t="s">
        <v>27</v>
      </c>
      <c r="D26" s="3">
        <v>2</v>
      </c>
      <c r="E26" s="3">
        <v>3</v>
      </c>
      <c r="F26" s="3">
        <v>7</v>
      </c>
      <c r="G26" s="3">
        <v>5</v>
      </c>
      <c r="H26" s="3">
        <v>4</v>
      </c>
      <c r="I26" s="3">
        <v>1</v>
      </c>
      <c r="J26" s="3">
        <v>6</v>
      </c>
      <c r="K26" s="3" t="s">
        <v>27</v>
      </c>
      <c r="L26" s="3" t="s">
        <v>28</v>
      </c>
      <c r="M26" s="3" t="s">
        <v>29</v>
      </c>
      <c r="N26" s="3" t="s">
        <v>30</v>
      </c>
      <c r="O26" s="3" t="s">
        <v>49</v>
      </c>
      <c r="P26" s="3">
        <f t="shared" si="0"/>
        <v>4</v>
      </c>
      <c r="Q26" s="3" t="s">
        <v>32</v>
      </c>
      <c r="R26" s="3" t="s">
        <v>63</v>
      </c>
      <c r="S26" s="3">
        <f t="shared" si="1"/>
        <v>35</v>
      </c>
      <c r="T26" s="3" t="s">
        <v>69</v>
      </c>
      <c r="U26" s="3" t="s">
        <v>35</v>
      </c>
      <c r="V26" s="3" t="s">
        <v>29</v>
      </c>
      <c r="W26" s="3" t="s">
        <v>36</v>
      </c>
      <c r="X26" s="3" t="s">
        <v>53</v>
      </c>
      <c r="Y26" s="3" t="s">
        <v>61</v>
      </c>
      <c r="Z26" s="3" t="s">
        <v>39</v>
      </c>
    </row>
    <row r="27" spans="1:26" x14ac:dyDescent="0.3">
      <c r="A27" s="3" t="s">
        <v>26</v>
      </c>
      <c r="B27" s="3">
        <v>32</v>
      </c>
      <c r="C27" s="3" t="s">
        <v>27</v>
      </c>
      <c r="D27" s="3">
        <v>3</v>
      </c>
      <c r="E27" s="3">
        <v>4</v>
      </c>
      <c r="F27" s="3">
        <v>7</v>
      </c>
      <c r="G27" s="3">
        <v>5</v>
      </c>
      <c r="H27" s="3">
        <v>1</v>
      </c>
      <c r="I27" s="3">
        <v>2</v>
      </c>
      <c r="J27" s="3">
        <v>6</v>
      </c>
      <c r="K27" s="3" t="s">
        <v>27</v>
      </c>
      <c r="L27" s="3" t="s">
        <v>62</v>
      </c>
      <c r="M27" s="3" t="s">
        <v>65</v>
      </c>
      <c r="N27" s="3" t="s">
        <v>30</v>
      </c>
      <c r="O27" s="3" t="s">
        <v>49</v>
      </c>
      <c r="P27" s="3">
        <f t="shared" si="0"/>
        <v>4</v>
      </c>
      <c r="Q27" s="3" t="s">
        <v>32</v>
      </c>
      <c r="R27" s="3" t="s">
        <v>33</v>
      </c>
      <c r="S27" s="3">
        <f t="shared" si="1"/>
        <v>25</v>
      </c>
      <c r="T27" s="3" t="s">
        <v>34</v>
      </c>
      <c r="U27" s="3" t="s">
        <v>35</v>
      </c>
      <c r="V27" s="3" t="s">
        <v>29</v>
      </c>
      <c r="W27" s="3" t="s">
        <v>36</v>
      </c>
      <c r="X27" s="3" t="s">
        <v>53</v>
      </c>
      <c r="Y27" s="3" t="s">
        <v>38</v>
      </c>
      <c r="Z27" s="3" t="s">
        <v>47</v>
      </c>
    </row>
    <row r="28" spans="1:26" x14ac:dyDescent="0.3">
      <c r="A28" s="3" t="s">
        <v>48</v>
      </c>
      <c r="B28" s="3">
        <v>26</v>
      </c>
      <c r="C28" s="3" t="s">
        <v>27</v>
      </c>
      <c r="D28" s="3">
        <v>3</v>
      </c>
      <c r="E28" s="3">
        <v>4</v>
      </c>
      <c r="F28" s="3">
        <v>6</v>
      </c>
      <c r="G28" s="3">
        <v>5</v>
      </c>
      <c r="H28" s="3">
        <v>1</v>
      </c>
      <c r="I28" s="3">
        <v>2</v>
      </c>
      <c r="J28" s="3">
        <v>7</v>
      </c>
      <c r="K28" s="3" t="s">
        <v>27</v>
      </c>
      <c r="L28" s="3" t="s">
        <v>28</v>
      </c>
      <c r="M28" s="3" t="s">
        <v>29</v>
      </c>
      <c r="N28" s="3" t="s">
        <v>30</v>
      </c>
      <c r="O28" s="3" t="s">
        <v>49</v>
      </c>
      <c r="P28" s="3">
        <f t="shared" si="0"/>
        <v>4</v>
      </c>
      <c r="Q28" s="3" t="s">
        <v>32</v>
      </c>
      <c r="R28" s="3" t="s">
        <v>33</v>
      </c>
      <c r="S28" s="3">
        <f t="shared" si="1"/>
        <v>25</v>
      </c>
      <c r="T28" s="3" t="s">
        <v>34</v>
      </c>
      <c r="U28" s="3" t="s">
        <v>35</v>
      </c>
      <c r="V28" s="3" t="s">
        <v>45</v>
      </c>
      <c r="W28" s="3" t="s">
        <v>58</v>
      </c>
      <c r="X28" s="3" t="s">
        <v>53</v>
      </c>
      <c r="Y28" s="3" t="s">
        <v>38</v>
      </c>
      <c r="Z28" s="3" t="s">
        <v>47</v>
      </c>
    </row>
    <row r="29" spans="1:26" x14ac:dyDescent="0.3">
      <c r="A29" s="3" t="s">
        <v>48</v>
      </c>
      <c r="B29" s="3">
        <v>31</v>
      </c>
      <c r="C29" s="3" t="s">
        <v>27</v>
      </c>
      <c r="D29" s="3">
        <v>2</v>
      </c>
      <c r="E29" s="3">
        <v>3</v>
      </c>
      <c r="F29" s="3">
        <v>7</v>
      </c>
      <c r="G29" s="3">
        <v>6</v>
      </c>
      <c r="H29" s="3">
        <v>4</v>
      </c>
      <c r="I29" s="3">
        <v>1</v>
      </c>
      <c r="J29" s="3">
        <v>5</v>
      </c>
      <c r="K29" s="3" t="s">
        <v>27</v>
      </c>
      <c r="L29" s="3" t="s">
        <v>62</v>
      </c>
      <c r="M29" s="3" t="s">
        <v>65</v>
      </c>
      <c r="N29" s="3" t="s">
        <v>66</v>
      </c>
      <c r="O29" s="3" t="s">
        <v>31</v>
      </c>
      <c r="P29" s="3">
        <f t="shared" si="0"/>
        <v>2</v>
      </c>
      <c r="Q29" s="3" t="s">
        <v>32</v>
      </c>
      <c r="R29" s="3" t="s">
        <v>33</v>
      </c>
      <c r="S29" s="3">
        <f t="shared" si="1"/>
        <v>25</v>
      </c>
      <c r="T29" s="3" t="s">
        <v>67</v>
      </c>
      <c r="U29" s="3" t="s">
        <v>44</v>
      </c>
      <c r="V29" s="3" t="s">
        <v>29</v>
      </c>
      <c r="W29" s="3" t="s">
        <v>58</v>
      </c>
      <c r="X29" s="3" t="s">
        <v>37</v>
      </c>
      <c r="Y29" s="3" t="s">
        <v>38</v>
      </c>
      <c r="Z29" s="3" t="s">
        <v>54</v>
      </c>
    </row>
    <row r="30" spans="1:26" x14ac:dyDescent="0.3">
      <c r="A30" s="3" t="s">
        <v>48</v>
      </c>
      <c r="B30" s="3">
        <v>29</v>
      </c>
      <c r="C30" s="3" t="s">
        <v>27</v>
      </c>
      <c r="D30" s="3">
        <v>2</v>
      </c>
      <c r="E30" s="3">
        <v>3</v>
      </c>
      <c r="F30" s="3">
        <v>6</v>
      </c>
      <c r="G30" s="3">
        <v>5</v>
      </c>
      <c r="H30" s="3">
        <v>1</v>
      </c>
      <c r="I30" s="3">
        <v>4</v>
      </c>
      <c r="J30" s="3">
        <v>7</v>
      </c>
      <c r="K30" s="3" t="s">
        <v>27</v>
      </c>
      <c r="L30" s="3" t="s">
        <v>28</v>
      </c>
      <c r="M30" s="3" t="s">
        <v>29</v>
      </c>
      <c r="N30" s="3" t="s">
        <v>30</v>
      </c>
      <c r="O30" s="3" t="s">
        <v>31</v>
      </c>
      <c r="P30" s="3">
        <f t="shared" si="0"/>
        <v>2</v>
      </c>
      <c r="Q30" s="3" t="s">
        <v>32</v>
      </c>
      <c r="R30" s="3" t="s">
        <v>33</v>
      </c>
      <c r="S30" s="3">
        <f t="shared" si="1"/>
        <v>25</v>
      </c>
      <c r="T30" s="3" t="s">
        <v>51</v>
      </c>
      <c r="U30" s="3" t="s">
        <v>35</v>
      </c>
      <c r="V30" s="3" t="s">
        <v>29</v>
      </c>
      <c r="W30" s="3" t="s">
        <v>36</v>
      </c>
      <c r="X30" s="3" t="s">
        <v>53</v>
      </c>
      <c r="Y30" s="3" t="s">
        <v>61</v>
      </c>
      <c r="Z30" s="3" t="s">
        <v>54</v>
      </c>
    </row>
    <row r="31" spans="1:26" x14ac:dyDescent="0.3">
      <c r="A31" s="3" t="s">
        <v>26</v>
      </c>
      <c r="B31" s="3">
        <v>34</v>
      </c>
      <c r="C31" s="3" t="s">
        <v>27</v>
      </c>
      <c r="D31" s="3">
        <v>5</v>
      </c>
      <c r="E31" s="3">
        <v>4</v>
      </c>
      <c r="F31" s="3">
        <v>3</v>
      </c>
      <c r="G31" s="3">
        <v>2</v>
      </c>
      <c r="H31" s="3">
        <v>7</v>
      </c>
      <c r="I31" s="3">
        <v>1</v>
      </c>
      <c r="J31" s="3">
        <v>6</v>
      </c>
      <c r="K31" s="3" t="s">
        <v>27</v>
      </c>
      <c r="L31" s="3" t="s">
        <v>28</v>
      </c>
      <c r="M31" s="3" t="s">
        <v>55</v>
      </c>
      <c r="N31" s="3" t="s">
        <v>28</v>
      </c>
      <c r="O31" s="3" t="s">
        <v>49</v>
      </c>
      <c r="P31" s="3">
        <f t="shared" si="0"/>
        <v>4</v>
      </c>
      <c r="Q31" s="3" t="s">
        <v>32</v>
      </c>
      <c r="R31" s="3" t="s">
        <v>57</v>
      </c>
      <c r="S31" s="3">
        <f t="shared" si="1"/>
        <v>15</v>
      </c>
      <c r="T31" s="3" t="s">
        <v>34</v>
      </c>
      <c r="U31" s="3" t="s">
        <v>35</v>
      </c>
      <c r="V31" s="3" t="s">
        <v>29</v>
      </c>
      <c r="W31" s="3" t="s">
        <v>52</v>
      </c>
      <c r="X31" s="3" t="s">
        <v>37</v>
      </c>
      <c r="Y31" s="3" t="s">
        <v>38</v>
      </c>
      <c r="Z31" s="3" t="s">
        <v>39</v>
      </c>
    </row>
    <row r="32" spans="1:26" x14ac:dyDescent="0.3">
      <c r="A32" s="3" t="s">
        <v>48</v>
      </c>
      <c r="B32" s="3">
        <v>27</v>
      </c>
      <c r="C32" s="3" t="s">
        <v>27</v>
      </c>
      <c r="D32" s="3">
        <v>4</v>
      </c>
      <c r="E32" s="3">
        <v>5</v>
      </c>
      <c r="F32" s="3">
        <v>1</v>
      </c>
      <c r="G32" s="3">
        <v>2</v>
      </c>
      <c r="H32" s="3">
        <v>7</v>
      </c>
      <c r="I32" s="3">
        <v>3</v>
      </c>
      <c r="J32" s="3">
        <v>6</v>
      </c>
      <c r="K32" s="3" t="s">
        <v>40</v>
      </c>
      <c r="L32" s="3" t="s">
        <v>28</v>
      </c>
      <c r="M32" s="3" t="s">
        <v>65</v>
      </c>
      <c r="N32" s="3" t="s">
        <v>30</v>
      </c>
      <c r="O32" s="3" t="s">
        <v>31</v>
      </c>
      <c r="P32" s="3">
        <f t="shared" si="0"/>
        <v>2</v>
      </c>
      <c r="Q32" s="3" t="s">
        <v>32</v>
      </c>
      <c r="R32" s="3" t="s">
        <v>57</v>
      </c>
      <c r="S32" s="3">
        <f t="shared" si="1"/>
        <v>15</v>
      </c>
      <c r="T32" s="3" t="s">
        <v>34</v>
      </c>
      <c r="U32" s="3" t="s">
        <v>68</v>
      </c>
      <c r="V32" s="3" t="s">
        <v>29</v>
      </c>
      <c r="W32" s="3" t="s">
        <v>52</v>
      </c>
      <c r="X32" s="3" t="s">
        <v>37</v>
      </c>
      <c r="Y32" s="3" t="s">
        <v>38</v>
      </c>
      <c r="Z32" s="3" t="s">
        <v>54</v>
      </c>
    </row>
    <row r="33" spans="1:26" x14ac:dyDescent="0.3">
      <c r="A33" s="3" t="s">
        <v>26</v>
      </c>
      <c r="B33" s="3">
        <v>31</v>
      </c>
      <c r="C33" s="3" t="s">
        <v>27</v>
      </c>
      <c r="D33" s="3">
        <v>2</v>
      </c>
      <c r="E33" s="3">
        <v>4</v>
      </c>
      <c r="F33" s="3">
        <v>7</v>
      </c>
      <c r="G33" s="3">
        <v>6</v>
      </c>
      <c r="H33" s="3">
        <v>3</v>
      </c>
      <c r="I33" s="3">
        <v>1</v>
      </c>
      <c r="J33" s="3">
        <v>5</v>
      </c>
      <c r="K33" s="3" t="s">
        <v>27</v>
      </c>
      <c r="L33" s="3" t="s">
        <v>28</v>
      </c>
      <c r="M33" s="3" t="s">
        <v>29</v>
      </c>
      <c r="N33" s="3" t="s">
        <v>30</v>
      </c>
      <c r="O33" s="3" t="s">
        <v>49</v>
      </c>
      <c r="P33" s="3">
        <f t="shared" si="0"/>
        <v>4</v>
      </c>
      <c r="Q33" s="3" t="s">
        <v>32</v>
      </c>
      <c r="R33" s="3" t="s">
        <v>33</v>
      </c>
      <c r="S33" s="3">
        <f t="shared" si="1"/>
        <v>25</v>
      </c>
      <c r="T33" s="3" t="s">
        <v>67</v>
      </c>
      <c r="U33" s="3" t="s">
        <v>35</v>
      </c>
      <c r="V33" s="3" t="s">
        <v>29</v>
      </c>
      <c r="W33" s="3" t="s">
        <v>36</v>
      </c>
      <c r="X33" s="3" t="s">
        <v>53</v>
      </c>
      <c r="Y33" s="3" t="s">
        <v>38</v>
      </c>
      <c r="Z33" s="3" t="s">
        <v>47</v>
      </c>
    </row>
    <row r="34" spans="1:26" x14ac:dyDescent="0.3">
      <c r="A34" s="3" t="s">
        <v>48</v>
      </c>
      <c r="B34" s="3">
        <v>27</v>
      </c>
      <c r="C34" s="3" t="s">
        <v>27</v>
      </c>
      <c r="D34" s="3">
        <v>2</v>
      </c>
      <c r="E34" s="3">
        <v>4</v>
      </c>
      <c r="F34" s="3">
        <v>7</v>
      </c>
      <c r="G34" s="3">
        <v>5</v>
      </c>
      <c r="H34" s="3">
        <v>1</v>
      </c>
      <c r="I34" s="3">
        <v>3</v>
      </c>
      <c r="J34" s="3">
        <v>6</v>
      </c>
      <c r="K34" s="3" t="s">
        <v>27</v>
      </c>
      <c r="L34" s="3" t="s">
        <v>28</v>
      </c>
      <c r="M34" s="3" t="s">
        <v>29</v>
      </c>
      <c r="N34" s="3" t="s">
        <v>30</v>
      </c>
      <c r="O34" s="3" t="s">
        <v>49</v>
      </c>
      <c r="P34" s="3">
        <f t="shared" si="0"/>
        <v>4</v>
      </c>
      <c r="Q34" s="3" t="s">
        <v>32</v>
      </c>
      <c r="R34" s="3" t="s">
        <v>63</v>
      </c>
      <c r="S34" s="3">
        <f t="shared" si="1"/>
        <v>35</v>
      </c>
      <c r="T34" s="3" t="s">
        <v>51</v>
      </c>
      <c r="U34" s="3" t="s">
        <v>44</v>
      </c>
      <c r="V34" s="3" t="s">
        <v>29</v>
      </c>
      <c r="W34" s="3" t="s">
        <v>58</v>
      </c>
      <c r="X34" s="3" t="s">
        <v>53</v>
      </c>
      <c r="Y34" s="3" t="s">
        <v>38</v>
      </c>
      <c r="Z34" s="3" t="s">
        <v>39</v>
      </c>
    </row>
    <row r="35" spans="1:26" x14ac:dyDescent="0.3">
      <c r="A35" s="3" t="s">
        <v>48</v>
      </c>
      <c r="B35" s="3">
        <v>26</v>
      </c>
      <c r="C35" s="3" t="s">
        <v>27</v>
      </c>
      <c r="D35" s="3">
        <v>2</v>
      </c>
      <c r="E35" s="3">
        <v>3</v>
      </c>
      <c r="F35" s="3">
        <v>6</v>
      </c>
      <c r="G35" s="3">
        <v>4</v>
      </c>
      <c r="H35" s="3">
        <v>1</v>
      </c>
      <c r="I35" s="3">
        <v>5</v>
      </c>
      <c r="J35" s="3">
        <v>7</v>
      </c>
      <c r="K35" s="3" t="s">
        <v>27</v>
      </c>
      <c r="L35" s="3" t="s">
        <v>28</v>
      </c>
      <c r="M35" s="3" t="s">
        <v>29</v>
      </c>
      <c r="N35" s="3" t="s">
        <v>28</v>
      </c>
      <c r="O35" s="3" t="s">
        <v>31</v>
      </c>
      <c r="P35" s="3">
        <f t="shared" si="0"/>
        <v>2</v>
      </c>
      <c r="Q35" s="3" t="s">
        <v>32</v>
      </c>
      <c r="R35" s="3" t="s">
        <v>33</v>
      </c>
      <c r="S35" s="3">
        <f t="shared" si="1"/>
        <v>25</v>
      </c>
      <c r="T35" s="3" t="s">
        <v>67</v>
      </c>
      <c r="U35" s="3" t="s">
        <v>68</v>
      </c>
      <c r="V35" s="3" t="s">
        <v>45</v>
      </c>
      <c r="W35" s="3" t="s">
        <v>36</v>
      </c>
      <c r="X35" s="3" t="s">
        <v>37</v>
      </c>
      <c r="Y35" s="3" t="s">
        <v>61</v>
      </c>
      <c r="Z35" s="3" t="s">
        <v>39</v>
      </c>
    </row>
    <row r="36" spans="1:26" x14ac:dyDescent="0.3">
      <c r="A36" s="3" t="s">
        <v>48</v>
      </c>
      <c r="B36" s="3">
        <v>27</v>
      </c>
      <c r="C36" s="3" t="s">
        <v>27</v>
      </c>
      <c r="D36" s="3">
        <v>2</v>
      </c>
      <c r="E36" s="3">
        <v>3</v>
      </c>
      <c r="F36" s="3">
        <v>6</v>
      </c>
      <c r="G36" s="3">
        <v>5</v>
      </c>
      <c r="H36" s="3">
        <v>4</v>
      </c>
      <c r="I36" s="3">
        <v>1</v>
      </c>
      <c r="J36" s="3">
        <v>7</v>
      </c>
      <c r="K36" s="3" t="s">
        <v>27</v>
      </c>
      <c r="L36" s="3" t="s">
        <v>28</v>
      </c>
      <c r="M36" s="3" t="s">
        <v>29</v>
      </c>
      <c r="N36" s="3" t="s">
        <v>30</v>
      </c>
      <c r="O36" s="3" t="s">
        <v>31</v>
      </c>
      <c r="P36" s="3">
        <f t="shared" si="0"/>
        <v>2</v>
      </c>
      <c r="Q36" s="3" t="s">
        <v>43</v>
      </c>
      <c r="R36" s="3" t="s">
        <v>33</v>
      </c>
      <c r="S36" s="3">
        <f t="shared" si="1"/>
        <v>25</v>
      </c>
      <c r="T36" s="3" t="s">
        <v>34</v>
      </c>
      <c r="U36" s="3" t="s">
        <v>44</v>
      </c>
      <c r="V36" s="3" t="s">
        <v>29</v>
      </c>
      <c r="W36" s="3" t="s">
        <v>36</v>
      </c>
      <c r="X36" s="3" t="s">
        <v>37</v>
      </c>
      <c r="Y36" s="3" t="s">
        <v>38</v>
      </c>
      <c r="Z36" s="3" t="s">
        <v>47</v>
      </c>
    </row>
    <row r="37" spans="1:26" x14ac:dyDescent="0.3">
      <c r="A37" s="3" t="s">
        <v>48</v>
      </c>
      <c r="B37" s="3">
        <v>30</v>
      </c>
      <c r="C37" s="3" t="s">
        <v>27</v>
      </c>
      <c r="D37" s="3">
        <v>1</v>
      </c>
      <c r="E37" s="3">
        <v>4</v>
      </c>
      <c r="F37" s="3">
        <v>6</v>
      </c>
      <c r="G37" s="3">
        <v>5</v>
      </c>
      <c r="H37" s="3">
        <v>3</v>
      </c>
      <c r="I37" s="3">
        <v>2</v>
      </c>
      <c r="J37" s="3">
        <v>7</v>
      </c>
      <c r="K37" s="3" t="s">
        <v>27</v>
      </c>
      <c r="L37" s="3" t="s">
        <v>62</v>
      </c>
      <c r="M37" s="3" t="s">
        <v>65</v>
      </c>
      <c r="N37" s="3" t="s">
        <v>30</v>
      </c>
      <c r="O37" s="3" t="s">
        <v>49</v>
      </c>
      <c r="P37" s="3">
        <f t="shared" si="0"/>
        <v>4</v>
      </c>
      <c r="Q37" s="3" t="s">
        <v>32</v>
      </c>
      <c r="R37" s="3" t="s">
        <v>33</v>
      </c>
      <c r="S37" s="3">
        <f t="shared" si="1"/>
        <v>25</v>
      </c>
      <c r="T37" s="3" t="s">
        <v>67</v>
      </c>
      <c r="U37" s="3" t="s">
        <v>44</v>
      </c>
      <c r="V37" s="3" t="s">
        <v>29</v>
      </c>
      <c r="W37" s="3" t="s">
        <v>36</v>
      </c>
      <c r="X37" s="3" t="s">
        <v>53</v>
      </c>
      <c r="Y37" s="3" t="s">
        <v>38</v>
      </c>
      <c r="Z37" s="3" t="s">
        <v>47</v>
      </c>
    </row>
    <row r="38" spans="1:26" x14ac:dyDescent="0.3">
      <c r="A38" s="3" t="s">
        <v>48</v>
      </c>
      <c r="B38" s="3">
        <v>30</v>
      </c>
      <c r="C38" s="3" t="s">
        <v>27</v>
      </c>
      <c r="D38" s="3">
        <v>2</v>
      </c>
      <c r="E38" s="3">
        <v>4</v>
      </c>
      <c r="F38" s="3">
        <v>7</v>
      </c>
      <c r="G38" s="3">
        <v>5</v>
      </c>
      <c r="H38" s="3">
        <v>1</v>
      </c>
      <c r="I38" s="3">
        <v>3</v>
      </c>
      <c r="J38" s="3">
        <v>6</v>
      </c>
      <c r="K38" s="3" t="s">
        <v>27</v>
      </c>
      <c r="L38" s="3" t="s">
        <v>28</v>
      </c>
      <c r="M38" s="3" t="s">
        <v>29</v>
      </c>
      <c r="N38" s="3" t="s">
        <v>30</v>
      </c>
      <c r="O38" s="3" t="s">
        <v>31</v>
      </c>
      <c r="P38" s="3">
        <f t="shared" si="0"/>
        <v>2</v>
      </c>
      <c r="Q38" s="3" t="s">
        <v>32</v>
      </c>
      <c r="R38" s="3" t="s">
        <v>33</v>
      </c>
      <c r="S38" s="3">
        <f t="shared" si="1"/>
        <v>25</v>
      </c>
      <c r="T38" s="3" t="s">
        <v>51</v>
      </c>
      <c r="U38" s="3" t="s">
        <v>35</v>
      </c>
      <c r="V38" s="3" t="s">
        <v>29</v>
      </c>
      <c r="W38" s="3" t="s">
        <v>36</v>
      </c>
      <c r="X38" s="3" t="s">
        <v>53</v>
      </c>
      <c r="Y38" s="3" t="s">
        <v>61</v>
      </c>
      <c r="Z38" s="3" t="s">
        <v>39</v>
      </c>
    </row>
    <row r="39" spans="1:26" x14ac:dyDescent="0.3">
      <c r="A39" s="3" t="s">
        <v>48</v>
      </c>
      <c r="B39" s="3">
        <v>25</v>
      </c>
      <c r="C39" s="3" t="s">
        <v>27</v>
      </c>
      <c r="D39" s="3">
        <v>5</v>
      </c>
      <c r="E39" s="3">
        <v>4</v>
      </c>
      <c r="F39" s="3">
        <v>7</v>
      </c>
      <c r="G39" s="3">
        <v>6</v>
      </c>
      <c r="H39" s="3">
        <v>1</v>
      </c>
      <c r="I39" s="3">
        <v>2</v>
      </c>
      <c r="J39" s="3">
        <v>3</v>
      </c>
      <c r="K39" s="3" t="s">
        <v>27</v>
      </c>
      <c r="L39" s="3" t="s">
        <v>62</v>
      </c>
      <c r="M39" s="3" t="s">
        <v>65</v>
      </c>
      <c r="N39" s="3" t="s">
        <v>66</v>
      </c>
      <c r="O39" s="3" t="s">
        <v>49</v>
      </c>
      <c r="P39" s="3">
        <f t="shared" si="0"/>
        <v>4</v>
      </c>
      <c r="Q39" s="3" t="s">
        <v>32</v>
      </c>
      <c r="R39" s="3" t="s">
        <v>63</v>
      </c>
      <c r="S39" s="3">
        <f t="shared" si="1"/>
        <v>35</v>
      </c>
      <c r="T39" s="3" t="s">
        <v>69</v>
      </c>
      <c r="U39" s="3" t="s">
        <v>44</v>
      </c>
      <c r="V39" s="3" t="s">
        <v>29</v>
      </c>
      <c r="W39" s="3" t="s">
        <v>36</v>
      </c>
      <c r="X39" s="3" t="s">
        <v>37</v>
      </c>
      <c r="Y39" s="3" t="s">
        <v>38</v>
      </c>
      <c r="Z39" s="3" t="s">
        <v>47</v>
      </c>
    </row>
    <row r="40" spans="1:26" x14ac:dyDescent="0.3">
      <c r="A40" s="3" t="s">
        <v>48</v>
      </c>
      <c r="B40" s="3">
        <v>31</v>
      </c>
      <c r="C40" s="3" t="s">
        <v>27</v>
      </c>
      <c r="D40" s="3">
        <v>2</v>
      </c>
      <c r="E40" s="3">
        <v>4</v>
      </c>
      <c r="F40" s="3">
        <v>7</v>
      </c>
      <c r="G40" s="3">
        <v>5</v>
      </c>
      <c r="H40" s="3">
        <v>3</v>
      </c>
      <c r="I40" s="3">
        <v>1</v>
      </c>
      <c r="J40" s="3">
        <v>6</v>
      </c>
      <c r="K40" s="3" t="s">
        <v>27</v>
      </c>
      <c r="L40" s="3" t="s">
        <v>62</v>
      </c>
      <c r="M40" s="3" t="s">
        <v>65</v>
      </c>
      <c r="N40" s="3" t="s">
        <v>30</v>
      </c>
      <c r="O40" s="3" t="s">
        <v>31</v>
      </c>
      <c r="P40" s="3">
        <f t="shared" si="0"/>
        <v>2</v>
      </c>
      <c r="Q40" s="3" t="s">
        <v>43</v>
      </c>
      <c r="R40" s="3" t="s">
        <v>33</v>
      </c>
      <c r="S40" s="3">
        <f t="shared" si="1"/>
        <v>25</v>
      </c>
      <c r="T40" s="3" t="s">
        <v>51</v>
      </c>
      <c r="U40" s="3" t="s">
        <v>44</v>
      </c>
      <c r="V40" s="3" t="s">
        <v>45</v>
      </c>
      <c r="W40" s="3" t="s">
        <v>58</v>
      </c>
      <c r="X40" s="3" t="s">
        <v>53</v>
      </c>
      <c r="Y40" s="3" t="s">
        <v>38</v>
      </c>
      <c r="Z40" s="3" t="s">
        <v>39</v>
      </c>
    </row>
    <row r="41" spans="1:26" x14ac:dyDescent="0.3">
      <c r="A41" s="3" t="s">
        <v>48</v>
      </c>
      <c r="B41" s="3">
        <v>29</v>
      </c>
      <c r="C41" s="3" t="s">
        <v>27</v>
      </c>
      <c r="D41" s="3">
        <v>4</v>
      </c>
      <c r="E41" s="3">
        <v>3</v>
      </c>
      <c r="F41" s="3">
        <v>5</v>
      </c>
      <c r="G41" s="3">
        <v>7</v>
      </c>
      <c r="H41" s="3">
        <v>2</v>
      </c>
      <c r="I41" s="3">
        <v>1</v>
      </c>
      <c r="J41" s="3">
        <v>6</v>
      </c>
      <c r="K41" s="3" t="s">
        <v>27</v>
      </c>
      <c r="L41" s="3" t="s">
        <v>28</v>
      </c>
      <c r="M41" s="3" t="s">
        <v>29</v>
      </c>
      <c r="N41" s="3" t="s">
        <v>30</v>
      </c>
      <c r="O41" s="3" t="s">
        <v>49</v>
      </c>
      <c r="P41" s="3">
        <f t="shared" si="0"/>
        <v>4</v>
      </c>
      <c r="Q41" s="3" t="s">
        <v>32</v>
      </c>
      <c r="R41" s="3" t="s">
        <v>33</v>
      </c>
      <c r="S41" s="3">
        <f t="shared" si="1"/>
        <v>25</v>
      </c>
      <c r="T41" s="3" t="s">
        <v>67</v>
      </c>
      <c r="U41" s="3" t="s">
        <v>35</v>
      </c>
      <c r="V41" s="3" t="s">
        <v>45</v>
      </c>
      <c r="W41" s="3" t="s">
        <v>36</v>
      </c>
      <c r="X41" s="3" t="s">
        <v>37</v>
      </c>
      <c r="Y41" s="3" t="s">
        <v>38</v>
      </c>
      <c r="Z41" s="3" t="s">
        <v>47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CEAAE-E847-4DD5-8905-8F9DBEF191F5}">
  <dimension ref="A1"/>
  <sheetViews>
    <sheetView tabSelected="1"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Data_Set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 Vempati</dc:creator>
  <cp:lastModifiedBy>Bharath Vempati</cp:lastModifiedBy>
  <dcterms:created xsi:type="dcterms:W3CDTF">2025-11-04T06:32:36Z</dcterms:created>
  <dcterms:modified xsi:type="dcterms:W3CDTF">2025-11-04T07:05:19Z</dcterms:modified>
</cp:coreProperties>
</file>